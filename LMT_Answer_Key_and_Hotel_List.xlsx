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swer Key" sheetId="1" state="visible" r:id="rId3"/>
    <sheet name="Hotel List" sheetId="2" state="visible" r:id="rId4"/>
    <sheet name="Action Mix" sheetId="3" state="visible" r:id="rId5"/>
  </sheets>
  <definedNames>
    <definedName function="false" hidden="true" localSheetId="0" name="_xlnm._FilterDatabase" vbProcedure="false">'Answer Key'!$A$4:$W$54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<sst xmlns="http://schemas.openxmlformats.org/spreadsheetml/2006/main" count="873" uniqueCount="439">
  <si>
    <t xml:space="preserve">LMT Places Simulator — Built-in Answer Key (TRAINERS ONLY)</t>
  </si>
  <si>
    <t xml:space="preserve">Approve cases are real Kerala Tourism-registered homestays (data checked Oct 2026 — re-check before each wave). Alias = well-known hotels already on Tripadvisor. Unverifiable / Tier 2 names are invented on purpose. "|" separates accepted alternatives; BLANK = must be left empty.</t>
  </si>
  <si>
    <t xml:space="preserve">Case ID</t>
  </si>
  <si>
    <t xml:space="preserve">Day</t>
  </si>
  <si>
    <t xml:space="preserve">Q#</t>
  </si>
  <si>
    <t xml:space="preserve">Feed Name</t>
  </si>
  <si>
    <t xml:space="preserve">Correct Name</t>
  </si>
  <si>
    <t xml:space="preserve">Correct Parent (City, Region, Country)</t>
  </si>
  <si>
    <t xml:space="preserve">Correct Action</t>
  </si>
  <si>
    <t xml:space="preserve">Correct Reason</t>
  </si>
  <si>
    <t xml:space="preserve">Correct Street One</t>
  </si>
  <si>
    <t xml:space="preserve">Correct Street Two</t>
  </si>
  <si>
    <t xml:space="preserve">Correct Postal Code</t>
  </si>
  <si>
    <t xml:space="preserve">Correct Phone</t>
  </si>
  <si>
    <t xml:space="preserve">Correct Email</t>
  </si>
  <si>
    <t xml:space="preserve">Correct URL</t>
  </si>
  <si>
    <t xml:space="preserve">Correct Accommodation Type</t>
  </si>
  <si>
    <t xml:space="preserve">Correct Rooms</t>
  </si>
  <si>
    <t xml:space="preserve">Correct Latitude</t>
  </si>
  <si>
    <t xml:space="preserve">Correct Longitude</t>
  </si>
  <si>
    <t xml:space="preserve">Geo Tolerance (m)</t>
  </si>
  <si>
    <t xml:space="preserve">Feed Latitude (start pin)</t>
  </si>
  <si>
    <t xml:space="preserve">Feed Longitude</t>
  </si>
  <si>
    <t xml:space="preserve">Coaching Note</t>
  </si>
  <si>
    <t xml:space="preserve">Reference Link (trainers only)</t>
  </si>
  <si>
    <t xml:space="preserve">D1-01</t>
  </si>
  <si>
    <t xml:space="preserve">SNOW MOON HOMESTAY</t>
  </si>
  <si>
    <t xml:space="preserve">Snow Moon Homestay</t>
  </si>
  <si>
    <t xml:space="preserve">Munnar, Idukki District, Kerala, India</t>
  </si>
  <si>
    <t xml:space="preserve">Approve</t>
  </si>
  <si>
    <t xml:space="preserve">New property – verified across sources</t>
  </si>
  <si>
    <t xml:space="preserve">Pattamthanath House, Chithirapuram | Pattamthanath House</t>
  </si>
  <si>
    <t xml:space="preserve">685565</t>
  </si>
  <si>
    <t xml:space="preserve">+91 88480 19141</t>
  </si>
  <si>
    <t xml:space="preserve">snowmoonhomestay@gmail.com | info@snowmoonhomestay.com</t>
  </si>
  <si>
    <t xml:space="preserve">http://www.snowmoonhomestay.com | BLANK</t>
  </si>
  <si>
    <t xml:space="preserve">Guest House</t>
  </si>
  <si>
    <t xml:space="preserve">Feed was in ALL CAPS, the phone had no +91 and the pin was 1.7 km off. It is a homestay, so Guest House, not Hotel. Chithirapuram is a neighbourhood — the parent is Munnar. Source: the Kerala Tourism listing, the official site and Google Maps.</t>
  </si>
  <si>
    <t xml:space="preserve">https://www.keralatourism.org/homestays/snow-moon-homestay/4038</t>
  </si>
  <si>
    <t xml:space="preserve">D1-02</t>
  </si>
  <si>
    <t xml:space="preserve">Green Horizon Home Stay</t>
  </si>
  <si>
    <t xml:space="preserve">Green Horizon Homestay</t>
  </si>
  <si>
    <t xml:space="preserve">Kochi (Cochin), Ernakulam District, Kerala, India</t>
  </si>
  <si>
    <t xml:space="preserve">Fort Nagar, Fort Kochi | Fort Nagar</t>
  </si>
  <si>
    <t xml:space="preserve">682001</t>
  </si>
  <si>
    <t xml:space="preserve">+91 88910 77232</t>
  </si>
  <si>
    <t xml:space="preserve">greenhorizonstay@gmail.com</t>
  </si>
  <si>
    <t xml:space="preserve">http://www.greenhorizonstay.com | BLANK</t>
  </si>
  <si>
    <t xml:space="preserve">The feed pin landed in Kochi, JAPAN. Always check the country when you pick a parent. Fort Kochi is a neighbourhood of Kochi (Cochin), Kerala.</t>
  </si>
  <si>
    <t xml:space="preserve">https://www.keralatourism.org/homestays/green-horizon-homestay/8482</t>
  </si>
  <si>
    <t xml:space="preserve">D1-03</t>
  </si>
  <si>
    <t xml:space="preserve">Kerala Spices Homestay Thekkady</t>
  </si>
  <si>
    <t xml:space="preserve">Kerala Spices Homestay</t>
  </si>
  <si>
    <t xml:space="preserve">Kumily (Thekkady), Idukki District, Kerala, India</t>
  </si>
  <si>
    <t xml:space="preserve">Kollaparambil House, Valiyakandam | Kollaparambil House</t>
  </si>
  <si>
    <t xml:space="preserve">Valiyakandam | BLANK</t>
  </si>
  <si>
    <t xml:space="preserve">685509</t>
  </si>
  <si>
    <t xml:space="preserve">+91 99473 30134</t>
  </si>
  <si>
    <t xml:space="preserve">keralaspiceshomestay@gmail.com</t>
  </si>
  <si>
    <t xml:space="preserve">http://www.keralaspiceshomestay.com | BLANK</t>
  </si>
  <si>
    <t xml:space="preserve">Don't keep a city the feed added to the name ("…Thekkady") unless the property uses it. Thekkady sits inside Kumily — pick "Kumily (Thekkady)".</t>
  </si>
  <si>
    <t xml:space="preserve">https://www.keralatourism.org/homestays/kerala-spices-homestay/8592</t>
  </si>
  <si>
    <t xml:space="preserve">D1-04</t>
  </si>
  <si>
    <t xml:space="preserve">BOUGAINVILLEA HOMESTAY</t>
  </si>
  <si>
    <t xml:space="preserve">Bougainvillea Homestay</t>
  </si>
  <si>
    <t xml:space="preserve">Varkala, Thiruvananthapuram District, Kerala, India</t>
  </si>
  <si>
    <t xml:space="preserve">K N Vihar, North Cliff Helipad Road | KN Vihar, North Cliff Helipad Road</t>
  </si>
  <si>
    <t xml:space="preserve">695141</t>
  </si>
  <si>
    <t xml:space="preserve">+91 85907 94534 | +91 90740 58901</t>
  </si>
  <si>
    <t xml:space="preserve">bougainvilleahomestays@gmail.com</t>
  </si>
  <si>
    <t xml:space="preserve">http://bougainvilleahomestays.in | BLANK</t>
  </si>
  <si>
    <t xml:space="preserve">ALL CAPS name and street must be converted to proper case. Two phone numbers exist — either one in +91 format is fine.</t>
  </si>
  <si>
    <t xml:space="preserve">https://www.keralatourism.org/homestays/bougainvillea-homestay/7044</t>
  </si>
  <si>
    <t xml:space="preserve">D1-05</t>
  </si>
  <si>
    <t xml:space="preserve">Ananda Home Stay Wayanad</t>
  </si>
  <si>
    <t xml:space="preserve">Ananda Homestay</t>
  </si>
  <si>
    <t xml:space="preserve">Ambalavayal, Wayanad District, Kerala, India</t>
  </si>
  <si>
    <t xml:space="preserve">Nellarachal, Ambalavayal | Nellarachal</t>
  </si>
  <si>
    <t xml:space="preserve">673593</t>
  </si>
  <si>
    <t xml:space="preserve">+91 97444 45288 | +91 98959 90948</t>
  </si>
  <si>
    <t xml:space="preserve">anandawayanad@gmail.com | drlijikrishnan@gmail.com</t>
  </si>
  <si>
    <t xml:space="preserve">https://www.anandawayanad.com</t>
  </si>
  <si>
    <t xml:space="preserve">4</t>
  </si>
  <si>
    <t xml:space="preserve">The feed said Kalpetta and 6 rooms. The homestay's own description says four guest rooms, and it is in Ambalavayal, about 11 km away. The property's own words beat the feed.</t>
  </si>
  <si>
    <t xml:space="preserve">https://www.keralatourism.org/homestays/ananda-homestay/6508</t>
  </si>
  <si>
    <t xml:space="preserve">D1-06</t>
  </si>
  <si>
    <t xml:space="preserve">Royal Mist Homestay</t>
  </si>
  <si>
    <t xml:space="preserve">Royal Mist | Royal Mist Homestay</t>
  </si>
  <si>
    <t xml:space="preserve">Chithirapuram | Chithirapuram, Munnar</t>
  </si>
  <si>
    <t xml:space="preserve">+91 94954 44123 | +91 94470 31814</t>
  </si>
  <si>
    <t xml:space="preserve">royalmistmunnar@gmail.com</t>
  </si>
  <si>
    <t xml:space="preserve">http://www.royalmist.in | BLANK</t>
  </si>
  <si>
    <t xml:space="preserve">The feed pin sat in Munnar town centre, about 6.5 km from the property in Chithirapuram. Re-pin from Google Maps or the Kerala Tourism map.</t>
  </si>
  <si>
    <t xml:space="preserve">https://www.keralatourism.org/homestays/royal-mist/3831</t>
  </si>
  <si>
    <t xml:space="preserve">D1-07</t>
  </si>
  <si>
    <t xml:space="preserve">Thayil Kadaloram Homestay</t>
  </si>
  <si>
    <t xml:space="preserve">Kovalam, Thiruvananthapuram District, Kerala, India</t>
  </si>
  <si>
    <t xml:space="preserve">Beach Road | Beach Road, Kovalam</t>
  </si>
  <si>
    <t xml:space="preserve">695527</t>
  </si>
  <si>
    <t xml:space="preserve">+91 471 248 1934 | +91 73066 63669</t>
  </si>
  <si>
    <t xml:space="preserve">thayilkadaloram@gmail.com</t>
  </si>
  <si>
    <t xml:space="preserve">BLANK</t>
  </si>
  <si>
    <t xml:space="preserve">There are two Kovalams: the beach town in Kerala and Kovalam (Covelong) near Chennai — the feed pin was in Tamil Nadu. Landline 0471… becomes +91 471…. No website exists, so URL stays blank.</t>
  </si>
  <si>
    <t xml:space="preserve">https://www.keralatourism.org/homestays/thayil-kadaloram-homestay/6232</t>
  </si>
  <si>
    <t xml:space="preserve">D1-08</t>
  </si>
  <si>
    <t xml:space="preserve">Kumarakom Lake Resort &amp; Ayurveda Spa</t>
  </si>
  <si>
    <t xml:space="preserve">Kumarakom Lake Resort</t>
  </si>
  <si>
    <t xml:space="preserve">Kumarakom, Kottayam District, Kerala, India</t>
  </si>
  <si>
    <t xml:space="preserve">Alias</t>
  </si>
  <si>
    <t xml:space="preserve">Existing Tripadvisor listing – add feed name as alias</t>
  </si>
  <si>
    <t xml:space="preserve">Resort</t>
  </si>
  <si>
    <t xml:space="preserve">A famous resort that has been on Tripadvisor for years. The feed just added words to the name. Search tripadvisor.com, open the existing listing, paste its link and add the feed name as an alias — never create a duplicate.</t>
  </si>
  <si>
    <t xml:space="preserve">D1-09</t>
  </si>
  <si>
    <t xml:space="preserve">Mattancherry Palace Heritage Stay</t>
  </si>
  <si>
    <t xml:space="preserve">Mattancherry Palace</t>
  </si>
  <si>
    <t xml:space="preserve">Reject</t>
  </si>
  <si>
    <t xml:space="preserve">Not an accommodation</t>
  </si>
  <si>
    <t xml:space="preserve">N/A</t>
  </si>
  <si>
    <t xml:space="preserve">Mattancherry Palace (the Dutch Palace) is a museum. Nobody can book a room there — a monument is not an accommodation. Reject.</t>
  </si>
  <si>
    <t xml:space="preserve">D1-10</t>
  </si>
  <si>
    <t xml:space="preserve">Amberleaf Spice Court</t>
  </si>
  <si>
    <t xml:space="preserve">Unverifiable – no evidence the property exists</t>
  </si>
  <si>
    <t xml:space="preserve">Google, Google Maps, Facebook, Instagram and Kerala Tourism show nothing for this name, and the feed gives no phone or website. With zero evidence the property exists, Reject as Unverifiable.</t>
  </si>
  <si>
    <t xml:space="preserve">D2-01</t>
  </si>
  <si>
    <t xml:space="preserve">The Haven</t>
  </si>
  <si>
    <t xml:space="preserve">The Haven Munnar</t>
  </si>
  <si>
    <t xml:space="preserve">10/40, Thokkupara Junction | 10/40 Thokkupara Junction</t>
  </si>
  <si>
    <t xml:space="preserve">+91 4865 263617 | +91 94000 37623 | +91 83018 83617</t>
  </si>
  <si>
    <t xml:space="preserve">thehavenmunnar@gmail.com | agilehomestay@gmail.com</t>
  </si>
  <si>
    <t xml:space="preserve">http://www.thehavenmunnar.com | BLANK</t>
  </si>
  <si>
    <t xml:space="preserve">Here the city IS part of the official name: "The Haven Munnar". Expand "JN" to Junction, and convert 04865… to +91 4865….</t>
  </si>
  <si>
    <t xml:space="preserve">https://www.keralatourism.org/homestays/the-haven-munnar/4071</t>
  </si>
  <si>
    <t xml:space="preserve">D2-02</t>
  </si>
  <si>
    <t xml:space="preserve">LINN VIEW HOMESTAY</t>
  </si>
  <si>
    <t xml:space="preserve">Linn View Home Stay Munnar | Linn View Home Stay | Linn View Homestay</t>
  </si>
  <si>
    <t xml:space="preserve">Mathalipara House, Anaviratty | Mathalipara House</t>
  </si>
  <si>
    <t xml:space="preserve">685561</t>
  </si>
  <si>
    <t xml:space="preserve">+91 94467 43768 | +91 95447 43767</t>
  </si>
  <si>
    <t xml:space="preserve">linviewhomestay@gmail.com</t>
  </si>
  <si>
    <t xml:space="preserve">The feed sent Munnar town's PIN (685612). The property is in Anaviratty — PIN 685561. Reject wrong feed values with ✖ instead of copying them.</t>
  </si>
  <si>
    <t xml:space="preserve">https://www.keralatourism.org/homestays/linn-view-home-stay-munnar/6228</t>
  </si>
  <si>
    <t xml:space="preserve">D2-03</t>
  </si>
  <si>
    <t xml:space="preserve">Hill Mist Homestay Kumily</t>
  </si>
  <si>
    <t xml:space="preserve">Hill Mist | Hill Mist Homestay</t>
  </si>
  <si>
    <t xml:space="preserve">1st Mile, Kumily Munnar Road | 1st Mile Kumily To Munnar Road | First Mile, Kumily Munnar Road</t>
  </si>
  <si>
    <t xml:space="preserve">+91 98465 79205</t>
  </si>
  <si>
    <t xml:space="preserve">hillmist.booking@gmail.com</t>
  </si>
  <si>
    <t xml:space="preserve">Remove the city the feed appended to the name and expand "Rd" to Road. No website exists — leave URL blank.</t>
  </si>
  <si>
    <t xml:space="preserve">https://www.keralatourism.org/homestays/hill-mist/6835</t>
  </si>
  <si>
    <t xml:space="preserve">D2-04</t>
  </si>
  <si>
    <t xml:space="preserve">Angel Homestay</t>
  </si>
  <si>
    <t xml:space="preserve">Alappuzha (Alleppey), Alappuzha District, Kerala, India</t>
  </si>
  <si>
    <t xml:space="preserve">Thekkummuriyil, Punnapra | Thekkummuriyil</t>
  </si>
  <si>
    <t xml:space="preserve">Punnapra | BLANK</t>
  </si>
  <si>
    <t xml:space="preserve">688004</t>
  </si>
  <si>
    <t xml:space="preserve">+91 86066 06451</t>
  </si>
  <si>
    <t xml:space="preserve">angelhomestayalpy4@gmail.com | bozkojone@gmail.com</t>
  </si>
  <si>
    <t xml:space="preserve">Wrong PIN in the feed (688001 is Alappuzha town). The homestay is in Punnapra, PIN 688004, about 5 km south.</t>
  </si>
  <si>
    <t xml:space="preserve">https://www.keralatourism.org/homestays/angel-homestay/6758</t>
  </si>
  <si>
    <t xml:space="preserve">D2-05</t>
  </si>
  <si>
    <t xml:space="preserve">PADDY &amp; CANAL HOMESTAY</t>
  </si>
  <si>
    <t xml:space="preserve">Paddy N Canal Homestay | Paddy 'N' Canal Homestay</t>
  </si>
  <si>
    <t xml:space="preserve">Near KSRTC Bus Stand | Near Alleppey KSRTC Bus Stand</t>
  </si>
  <si>
    <t xml:space="preserve">East of Alappuzha Fire Station | BLANK</t>
  </si>
  <si>
    <t xml:space="preserve">688011</t>
  </si>
  <si>
    <t xml:space="preserve">+91 62826 44098 | +91 96459 63812</t>
  </si>
  <si>
    <t xml:space="preserve">paddyncanal@gmail.com | robinpsunil2002@gmail.com</t>
  </si>
  <si>
    <t xml:space="preserve">The feed claimed an OYO brand — no OYO page lists this homestay, so Brand must stay blank. Write the name the way the property does ("Paddy N Canal"), and drop the 0 before the mobile number.</t>
  </si>
  <si>
    <t xml:space="preserve">https://www.keralatourism.org/homestays/paddy-n-canal-homestay/6764</t>
  </si>
  <si>
    <t xml:space="preserve">D2-06</t>
  </si>
  <si>
    <t xml:space="preserve">Illusion Homestay</t>
  </si>
  <si>
    <t xml:space="preserve">Near Devaswom Campshed, Janardhanapuram | Near Devaswom Campshed, West of Janardhana Swamy Temple | West of Janardhana Swamy Temple, Janardhanapuram</t>
  </si>
  <si>
    <t xml:space="preserve">+91 94462 37733 | +91 94460 89494</t>
  </si>
  <si>
    <t xml:space="preserve">illusion.varkala@gmail.com | vijayakumarg1963@gmail.com</t>
  </si>
  <si>
    <t xml:space="preserve">The feed crammed two phone numbers into one field. Enter ONE number in +91 format.</t>
  </si>
  <si>
    <t xml:space="preserve">https://www.keralatourism.org/homestays/illusion-homestay/7271</t>
  </si>
  <si>
    <t xml:space="preserve">D2-07</t>
  </si>
  <si>
    <t xml:space="preserve">Blue Lagoon Munroe Homestay</t>
  </si>
  <si>
    <t xml:space="preserve">Blue Lagoon Mundro Homestay | Blue Lagoon Munroe Homestay | Blue Lagoon Munroe</t>
  </si>
  <si>
    <t xml:space="preserve">Munroe Island, Kollam District, Kerala, India</t>
  </si>
  <si>
    <t xml:space="preserve">Muttom, East Kallada | Muttom</t>
  </si>
  <si>
    <t xml:space="preserve">691502</t>
  </si>
  <si>
    <t xml:space="preserve">+91 98463 26475</t>
  </si>
  <si>
    <t xml:space="preserve">info@bluelagoonmunroe.com</t>
  </si>
  <si>
    <t xml:space="preserve">https://bluelagoonmunroe.com</t>
  </si>
  <si>
    <t xml:space="preserve">The feed pin was in Kollam city, 11 km away. Munroe Island is its own parent geo.</t>
  </si>
  <si>
    <t xml:space="preserve">https://www.keralatourism.org/homestays/blue-lagoon-mundro-homestay/8967</t>
  </si>
  <si>
    <t xml:space="preserve">D2-08</t>
  </si>
  <si>
    <t xml:space="preserve">CGH Earth Brunton Boatyard Hotel Fort Kochi</t>
  </si>
  <si>
    <t xml:space="preserve">Brunton Boatyard</t>
  </si>
  <si>
    <t xml:space="preserve">Hotel</t>
  </si>
  <si>
    <t xml:space="preserve">Brunton Boatyard is a long-established Fort Kochi hotel already on Tripadvisor. "CGH Earth … Hotel Fort Kochi" is just brand + city padding. Paste the existing listing link and add the alias.</t>
  </si>
  <si>
    <t xml:space="preserve">D2-09</t>
  </si>
  <si>
    <t xml:space="preserve">Kathakali Centre Guest Rooms</t>
  </si>
  <si>
    <t xml:space="preserve">Kerala Kathakali Centre</t>
  </si>
  <si>
    <t xml:space="preserve">The Kerala Kathakali Centre is a performance and cultural venue (shows, classes). It has no rooms for guests — Reject as not an accommodation.</t>
  </si>
  <si>
    <t xml:space="preserve">D2-10</t>
  </si>
  <si>
    <t xml:space="preserve">Goldcoast Sapphire Villas</t>
  </si>
  <si>
    <t xml:space="preserve">Cherai, Vypin Island, Ernakulam District, Kerala, India</t>
  </si>
  <si>
    <t xml:space="preserve">Tier 2</t>
  </si>
  <si>
    <t xml:space="preserve">Suspected fraud / scam indicators</t>
  </si>
  <si>
    <t xml:space="preserve">Nothing exists online, AND the request itself carries scam signals: 100% advance to a personal UPI ID, WhatsApp-only contact, scam votes. That is fraud → Tier 2, never a simple Reject.</t>
  </si>
  <si>
    <t xml:space="preserve">D3-01</t>
  </si>
  <si>
    <t xml:space="preserve">Signature Homestay</t>
  </si>
  <si>
    <t xml:space="preserve">Munnar, Idukki District, Kerala, India | Adimali, Idukki District, Kerala, India</t>
  </si>
  <si>
    <t xml:space="preserve">Vayanasaala Road, Kunchithanny | Vayanasaala Road</t>
  </si>
  <si>
    <t xml:space="preserve">+91 94478 21288</t>
  </si>
  <si>
    <t xml:space="preserve">suryashibu75@gmail.com</t>
  </si>
  <si>
    <t xml:space="preserve">Kunchithanny isn't a parent geo — use the nearest real one (Munnar). The feed pin was in Munnar town, 7.7 km north of the property.</t>
  </si>
  <si>
    <t xml:space="preserve">https://www.keralatourism.org/homestays/signature-homestay/6378</t>
  </si>
  <si>
    <t xml:space="preserve">D3-02</t>
  </si>
  <si>
    <t xml:space="preserve">GREENSHORE VILLA VAGAMON</t>
  </si>
  <si>
    <t xml:space="preserve">Greenshore | Greenshore Villa</t>
  </si>
  <si>
    <t xml:space="preserve">Vagamon, Idukki District, Kerala, India</t>
  </si>
  <si>
    <t xml:space="preserve">52A Kalathil, Valacode | 52A Kalathil</t>
  </si>
  <si>
    <t xml:space="preserve">Opposite St George Malankara Church, Valacode | Valacode | BLANK</t>
  </si>
  <si>
    <t xml:space="preserve">685505</t>
  </si>
  <si>
    <t xml:space="preserve">+91 94474 87194</t>
  </si>
  <si>
    <t xml:space="preserve">vagamon@greenshorevilla.com | shiju@greenshorevilla.com</t>
  </si>
  <si>
    <t xml:space="preserve">http://www.greenshorevilla.com</t>
  </si>
  <si>
    <t xml:space="preserve">The feed URL had no http:// — fix it. The pin sat 8 km away in Vagamon town; the property is in Valacode.</t>
  </si>
  <si>
    <t xml:space="preserve">https://www.keralatourism.org/homestays/greenshore/7757</t>
  </si>
  <si>
    <t xml:space="preserve">D3-03</t>
  </si>
  <si>
    <t xml:space="preserve">Mangal Caverns Homestay</t>
  </si>
  <si>
    <t xml:space="preserve">Valacode | Valacode, Vagamon</t>
  </si>
  <si>
    <t xml:space="preserve">+91 94964 28060 | +91 90744 87880</t>
  </si>
  <si>
    <t xml:space="preserve">varghesemangalathil@gmail.com</t>
  </si>
  <si>
    <t xml:space="preserve">Same feed pin as the last case — feeds often drop every property on the town centre. Always move the pin to the property.</t>
  </si>
  <si>
    <t xml:space="preserve">https://www.keralatourism.org/homestays/mangal-caverns-homestay/6752</t>
  </si>
  <si>
    <t xml:space="preserve">D3-04</t>
  </si>
  <si>
    <t xml:space="preserve">Kalariyullathil Homestay</t>
  </si>
  <si>
    <t xml:space="preserve">Payyoli, Kozhikode District, Kerala, India | Kozhikode (Calicut), Kozhikode District, Kerala, India</t>
  </si>
  <si>
    <t xml:space="preserve">Payyoli-Perambra Road, Kizhur | Behind BJP Maraar Office, Payyoli-Perambra Road | Payyoli Perambra Road</t>
  </si>
  <si>
    <t xml:space="preserve">673522</t>
  </si>
  <si>
    <t xml:space="preserve">+91 97279 31861</t>
  </si>
  <si>
    <t xml:space="preserve">jeejabai_kp@yahoo.com | annajk3@gmail.com</t>
  </si>
  <si>
    <t xml:space="preserve">An Airbnb link is NOT an official website — the URL must stay blank. The feed pin was in Kozhikode city, 33 km from Payyoli.</t>
  </si>
  <si>
    <t xml:space="preserve">https://www.keralatourism.org/homestays/kalariyullathil-homestay/6659</t>
  </si>
  <si>
    <t xml:space="preserve">D3-05</t>
  </si>
  <si>
    <t xml:space="preserve">Dakshin Ayodhya Homestay</t>
  </si>
  <si>
    <t xml:space="preserve">Thrissur, Thrissur District, Kerala, India</t>
  </si>
  <si>
    <t xml:space="preserve">16/491, Chethikattil, Velu Amman Padi Junction | 16/491, Chethikattil</t>
  </si>
  <si>
    <t xml:space="preserve">Near SNMHS School, Chazhur | Chazhur | BLANK</t>
  </si>
  <si>
    <t xml:space="preserve">680571</t>
  </si>
  <si>
    <t xml:space="preserve">+91 94959 73070 | +91 94463 72070</t>
  </si>
  <si>
    <t xml:space="preserve">dakshinayodhya@gmail.com | dika.23@gmail.com</t>
  </si>
  <si>
    <t xml:space="preserve">"Trichur" is the old name of Thrissur (Kerala). The feed pin went to Trichy (Tiruchirappalli) in Tamil Nadu — 280 km away.</t>
  </si>
  <si>
    <t xml:space="preserve">https://www.keralatourism.org/homestays/dakshin-ayodhya-homestay/7229</t>
  </si>
  <si>
    <t xml:space="preserve">D3-06</t>
  </si>
  <si>
    <t xml:space="preserve">Pannadikadu Homestay</t>
  </si>
  <si>
    <t xml:space="preserve">Muthalamada, Palakkad District, Kerala, India | Palakkad, Palakkad District, Kerala, India</t>
  </si>
  <si>
    <t xml:space="preserve">9/312, Thumbassery House, Chemmanampathy | 9/312, T.House Thumbassery, Chemmanampathy | Thumbassery, Chemmanampathy</t>
  </si>
  <si>
    <t xml:space="preserve">678507</t>
  </si>
  <si>
    <t xml:space="preserve">+91 95392 84669 | +91 4923 294049</t>
  </si>
  <si>
    <t xml:space="preserve">pannadikadu@gmail.com | geothumpassery@gmail.com</t>
  </si>
  <si>
    <t xml:space="preserve">https://pannadikaduhomestay.com</t>
  </si>
  <si>
    <t xml:space="preserve">2</t>
  </si>
  <si>
    <t xml:space="preserve">The feed pin was in Palakkad town, 30 km away. The homestay is two cottages near Muthalamada — rooms = 2.</t>
  </si>
  <si>
    <t xml:space="preserve">https://www.keralatourism.org/homestays/pannadikadu-homestay/7301</t>
  </si>
  <si>
    <t xml:space="preserve">D3-07</t>
  </si>
  <si>
    <t xml:space="preserve">Spice Village CGH Earth Kumily</t>
  </si>
  <si>
    <t xml:space="preserve">Spice Village</t>
  </si>
  <si>
    <t xml:space="preserve">Spice Village is a well-known Thekkady resort already on Tripadvisor. Brand and town were padded into the feed name. Alias it.</t>
  </si>
  <si>
    <t xml:space="preserve">D3-08</t>
  </si>
  <si>
    <t xml:space="preserve">Napier Museum</t>
  </si>
  <si>
    <t xml:space="preserve">Thiruvananthapuram (Trivandrum), Thiruvananthapuram District, Kerala, India</t>
  </si>
  <si>
    <t xml:space="preserve">The feed typed a famous museum as a Hotel. A museum is an attraction, not an accommodation — Reject.</t>
  </si>
  <si>
    <t xml:space="preserve">D3-09</t>
  </si>
  <si>
    <t xml:space="preserve">Saltwind Heritage Inn</t>
  </si>
  <si>
    <t xml:space="preserve">Kannur, Kannur District, Kerala, India</t>
  </si>
  <si>
    <t xml:space="preserve">No website, no Maps pin, no social pages, no Kerala Tourism entry — and the feed has no contact details. Unverifiable → Reject.</t>
  </si>
  <si>
    <t xml:space="preserve">D3-10</t>
  </si>
  <si>
    <t xml:space="preserve">Royal Raft Houseboats</t>
  </si>
  <si>
    <t xml:space="preserve">Specialty Lodging</t>
  </si>
  <si>
    <t xml:space="preserve">Pay-first with the location revealed only after payment, plus a scam report — classic booking-fraud pattern. Tier 2.</t>
  </si>
  <si>
    <t xml:space="preserve">D4-01</t>
  </si>
  <si>
    <t xml:space="preserve">KACHIPRATH HOMESTAY</t>
  </si>
  <si>
    <t xml:space="preserve">Kachiprath Homestay</t>
  </si>
  <si>
    <t xml:space="preserve">Makreri | Makreri, Kannur</t>
  </si>
  <si>
    <t xml:space="preserve">+91 95624 45116</t>
  </si>
  <si>
    <t xml:space="preserve">leenakachiprath@gmail.com</t>
  </si>
  <si>
    <t xml:space="preserve">A small rural homestay with very little online — the Kerala Tourism listing and Maps are your main sources. Pin it where the map shows it, 13 km inland from Kannur town.</t>
  </si>
  <si>
    <t xml:space="preserve">https://www.keralatourism.org/homestays/kachiprath-homestay/8427</t>
  </si>
  <si>
    <t xml:space="preserve">D4-02</t>
  </si>
  <si>
    <t xml:space="preserve">Happy Valley Homestay</t>
  </si>
  <si>
    <t xml:space="preserve">Happy Valley Home Stay | Happy Valley Homestay</t>
  </si>
  <si>
    <t xml:space="preserve">Taliparamba, Kannur District, Kerala, India | Kannur, Kannur District, Kerala, India</t>
  </si>
  <si>
    <t xml:space="preserve">Poomangalam | Poomangalam, Kannur</t>
  </si>
  <si>
    <t xml:space="preserve">+91 89210 07335</t>
  </si>
  <si>
    <t xml:space="preserve">varunthekkumbad@gmail.com</t>
  </si>
  <si>
    <t xml:space="preserve">The feed called it a Resort; it is a registered homestay → Guest House. Poomangalam is near Taliparamba, 20 km north of Kannur town.</t>
  </si>
  <si>
    <t xml:space="preserve">https://www.keralatourism.org/homestays/happy-valley-home-stay/8789</t>
  </si>
  <si>
    <t xml:space="preserve">D4-03</t>
  </si>
  <si>
    <t xml:space="preserve">Meadows: Kannurs Serene Retreat</t>
  </si>
  <si>
    <t xml:space="preserve">Meadows: Kannur's Serene Retreat Homestay | Meadows: Kannurs Serene Retreat Homestay | Meadows Homestay | Meadows</t>
  </si>
  <si>
    <t xml:space="preserve">Opposite Income Tax Office, Kannothumchal | Kannothumchal</t>
  </si>
  <si>
    <t xml:space="preserve">Chovva | BLANK</t>
  </si>
  <si>
    <t xml:space="preserve">670006</t>
  </si>
  <si>
    <t xml:space="preserve">+91 80753 89103</t>
  </si>
  <si>
    <t xml:space="preserve">akmalyasheen@gmail.com</t>
  </si>
  <si>
    <t xml:space="preserve">Guest House | Apartment Hotel</t>
  </si>
  <si>
    <t xml:space="preserve">A two-bedroom home in Kannothumchal (Chovva) — rooms = 2. Landmarks such as "opposite Income Tax Office" go with the street.</t>
  </si>
  <si>
    <t xml:space="preserve">https://www.keralatourism.org/homestays/meadows-kannurs-serene-retreat-homestay/6952</t>
  </si>
  <si>
    <t xml:space="preserve">D4-04</t>
  </si>
  <si>
    <t xml:space="preserve">Spice Garden Residency</t>
  </si>
  <si>
    <t xml:space="preserve">Athirappilly, Thrissur District, Kerala, India</t>
  </si>
  <si>
    <t xml:space="preserve">Vettilappara 15, Pariyaram | Vettilappara 15 | Vettilappara</t>
  </si>
  <si>
    <t xml:space="preserve">680721</t>
  </si>
  <si>
    <t xml:space="preserve">+91 94951 63602</t>
  </si>
  <si>
    <t xml:space="preserve">spicegardenresidency@gmail.com</t>
  </si>
  <si>
    <t xml:space="preserve">"Residency" sounds like a hotel, but it is registered as a homestay → Guest House. The feed pin sat at the waterfall, 7 km away.</t>
  </si>
  <si>
    <t xml:space="preserve">https://www.keralatourism.org/homestays/spice-garden-residency/6363</t>
  </si>
  <si>
    <t xml:space="preserve">D4-05</t>
  </si>
  <si>
    <t xml:space="preserve">Aathira Agri Homes</t>
  </si>
  <si>
    <t xml:space="preserve">Aathira Agri-Homes | Aathira Agri Homes</t>
  </si>
  <si>
    <t xml:space="preserve">Chalakudy, Thrissur District, Kerala, India | Athirappilly, Thrissur District, Kerala, India</t>
  </si>
  <si>
    <t xml:space="preserve">+91 94464 04151</t>
  </si>
  <si>
    <t xml:space="preserve">babyranibsnl@gmail.com</t>
  </si>
  <si>
    <t xml:space="preserve">Guest House | Specialty Lodging</t>
  </si>
  <si>
    <t xml:space="preserve">The listing mentions Athirappilly, but the map shows the farm-stay near Chalakudy, 20 km west. When text and map disagree, trust where the property physically is.</t>
  </si>
  <si>
    <t xml:space="preserve">https://www.keralatourism.org/homestays/aathira-agri-homes/7136</t>
  </si>
  <si>
    <t xml:space="preserve">D4-06</t>
  </si>
  <si>
    <t xml:space="preserve">Taj Palace &amp; Tower Colaba</t>
  </si>
  <si>
    <t xml:space="preserve">The Taj Mahal Palace</t>
  </si>
  <si>
    <t xml:space="preserve">Mumbai (Bombay), Maharashtra, India</t>
  </si>
  <si>
    <t xml:space="preserve">One of the most famous hotels in India — it is obviously on Tripadvisor. Match it to the existing listing.</t>
  </si>
  <si>
    <t xml:space="preserve">D4-07</t>
  </si>
  <si>
    <t xml:space="preserve">Leopold Cafe &amp; Stay</t>
  </si>
  <si>
    <t xml:space="preserve">Leopold Cafe</t>
  </si>
  <si>
    <t xml:space="preserve">Leopold Cafe is a famous restaurant and bar. "&amp; Stay" in the feed doesn't make it lodging — there are no guest rooms. Reject.</t>
  </si>
  <si>
    <t xml:space="preserve">D4-08</t>
  </si>
  <si>
    <t xml:space="preserve">Cliffnova Suites</t>
  </si>
  <si>
    <t xml:space="preserve">Varkala North Cliff is full of real guesthouses, but none with this name — no site, no Maps listing, no socials, no registration. Unverifiable → Reject.</t>
  </si>
  <si>
    <t xml:space="preserve">D4-09</t>
  </si>
  <si>
    <t xml:space="preserve">Cloudcrest Resort Ponmudi</t>
  </si>
  <si>
    <t xml:space="preserve">Ponmudi, Thiruvananthapuram District, Kerala, India</t>
  </si>
  <si>
    <t xml:space="preserve">Safety or legal concern</t>
  </si>
  <si>
    <t xml:space="preserve">A collapse report and a stop-memo about safety clearance are a safety/legal concern. You never decide those yourself — Tier 2.</t>
  </si>
  <si>
    <t xml:space="preserve">D4-10</t>
  </si>
  <si>
    <t xml:space="preserve">Whispering Canopy Treehouse</t>
  </si>
  <si>
    <t xml:space="preserve">Vythiri, Wayanad District, Kerala, India</t>
  </si>
  <si>
    <t xml:space="preserve">Brand or ownership dispute</t>
  </si>
  <si>
    <t xml:space="preserve">Two people claim to control the property and one formally disputes the request. Ownership disputes go to Tier 2.</t>
  </si>
  <si>
    <t xml:space="preserve">D5-01</t>
  </si>
  <si>
    <t xml:space="preserve">MALIYECKAL HOME STAY</t>
  </si>
  <si>
    <t xml:space="preserve">Maliyeckal Homestay | Maliyeckal Home Stay</t>
  </si>
  <si>
    <t xml:space="preserve">Anaviratty | Anaviratty, Munnar</t>
  </si>
  <si>
    <t xml:space="preserve">+91 98953 52958</t>
  </si>
  <si>
    <t xml:space="preserve">lejumichael001@gmail.com</t>
  </si>
  <si>
    <t xml:space="preserve">Three feed errors at once: ALL CAPS, Munnar town's PIN, and a pin 10 km from Anaviratty.</t>
  </si>
  <si>
    <t xml:space="preserve">https://www.keralatourism.org/homestays/maliyeckal-homestay/5960</t>
  </si>
  <si>
    <t xml:space="preserve">D5-02</t>
  </si>
  <si>
    <t xml:space="preserve">Evara Residency</t>
  </si>
  <si>
    <t xml:space="preserve">Evara Residency Homestay | Evara Residency</t>
  </si>
  <si>
    <t xml:space="preserve">Mararikulam, Alappuzha District, Kerala, India | Alappuzha (Alleppey), Alappuzha District, Kerala, India</t>
  </si>
  <si>
    <t xml:space="preserve">Mararikulam South | Mararikulam South, Alappuzha</t>
  </si>
  <si>
    <t xml:space="preserve">+91 79072 82603</t>
  </si>
  <si>
    <t xml:space="preserve">evara2322@gmail.com</t>
  </si>
  <si>
    <t xml:space="preserve">Mararikulam is a beach village 10 km north of Alappuzha town — pick Mararikulam as parent and move the pin. The Kerala Tourism listing shows no PIN, so it isn't scored here.</t>
  </si>
  <si>
    <t xml:space="preserve">https://www.keralatourism.org/homestays/evara-residency-homestay/7555</t>
  </si>
  <si>
    <t xml:space="preserve">D5-03</t>
  </si>
  <si>
    <t xml:space="preserve">Nickies Nest</t>
  </si>
  <si>
    <t xml:space="preserve">Nickies Nest Homestay | Nickie's Nest Homestay | Nickies Nest</t>
  </si>
  <si>
    <t xml:space="preserve">+91 99956 82897</t>
  </si>
  <si>
    <t xml:space="preserve">nicksmunroe@gmail.com</t>
  </si>
  <si>
    <t xml:space="preserve">Very little data in the feed. Searching the name + "Munroe" finds the Kerala Tourism listing — parent is Munroe Island, not Kollam city.</t>
  </si>
  <si>
    <t xml:space="preserve">https://www.keralatourism.org/homestays/nickies-nest-homestay/8246</t>
  </si>
  <si>
    <t xml:space="preserve">D5-04</t>
  </si>
  <si>
    <t xml:space="preserve">The Nest Kovalam</t>
  </si>
  <si>
    <t xml:space="preserve">The Nest Homestay | The Nest</t>
  </si>
  <si>
    <t xml:space="preserve">TC 64/2248 (3), GV Raja Road | GV Raja Road</t>
  </si>
  <si>
    <t xml:space="preserve">Vellar | BLANK</t>
  </si>
  <si>
    <t xml:space="preserve">+91 62820 44427</t>
  </si>
  <si>
    <t xml:space="preserve">bookthenestkovalam1@gmail.com</t>
  </si>
  <si>
    <t xml:space="preserve">Kovalam trap again (the pin was in Tamil Nadu), and the feed URL is an Airbnb link — URL must stay blank.</t>
  </si>
  <si>
    <t xml:space="preserve">https://www.keralatourism.org/homestays/the-nest-homestay/7020</t>
  </si>
  <si>
    <t xml:space="preserve">D5-05</t>
  </si>
  <si>
    <t xml:space="preserve">Brick House</t>
  </si>
  <si>
    <t xml:space="preserve">Kozhikode (Calicut), Kozhikode District, Kerala, India</t>
  </si>
  <si>
    <t xml:space="preserve">+91 70128 67804</t>
  </si>
  <si>
    <t xml:space="preserve">symphony.brickhouse@gmail.com</t>
  </si>
  <si>
    <t xml:space="preserve">A very generic name — search it with the city and phone number to find the right property (a registered homestay → Guest House).</t>
  </si>
  <si>
    <t xml:space="preserve">https://www.keralatourism.org/homestays/brick-house/7103</t>
  </si>
  <si>
    <t xml:space="preserve">D5-06</t>
  </si>
  <si>
    <t xml:space="preserve">MBS Hotel Tower 1 Singapore</t>
  </si>
  <si>
    <t xml:space="preserve">Marina Bay Sands</t>
  </si>
  <si>
    <t xml:space="preserve">Singapore, Singapore</t>
  </si>
  <si>
    <t xml:space="preserve">"MBS Hotel Tower 1" is Marina Bay Sands — one of the best-known hotels in the world. Alias, never create.</t>
  </si>
  <si>
    <t xml:space="preserve">D5-07</t>
  </si>
  <si>
    <t xml:space="preserve">Wonderla Kochi Resort</t>
  </si>
  <si>
    <t xml:space="preserve">Wonderla Kochi</t>
  </si>
  <si>
    <t xml:space="preserve">Wonderla Kochi is an amusement park. (There is a Wonderla resort — but it's in Bengaluru, not Kochi.) Check the city before you decide. Reject.</t>
  </si>
  <si>
    <t xml:space="preserve">D5-08</t>
  </si>
  <si>
    <t xml:space="preserve">Lanternhouse Grande</t>
  </si>
  <si>
    <t xml:space="preserve">Princess Street is real and busy, but nothing online matches this name. With no evidence, Reject as Unverifiable.</t>
  </si>
  <si>
    <t xml:space="preserve">D5-09</t>
  </si>
  <si>
    <t xml:space="preserve">Tamarindbay Residency</t>
  </si>
  <si>
    <t xml:space="preserve">No trace anywhere and no contact details in the feed. Unverifiable → Reject. (No scam signs, so not Tier 2.)</t>
  </si>
  <si>
    <t xml:space="preserve">D5-10</t>
  </si>
  <si>
    <t xml:space="preserve">Azure Pearl Villas</t>
  </si>
  <si>
    <t xml:space="preserve">A payment link with a 2-hour deadline and a report of stolen card details = phishing. Fraud → Tier 2.</t>
  </si>
  <si>
    <t xml:space="preserve">Hotels used in the built-in days</t>
  </si>
  <si>
    <t xml:space="preserve">Case</t>
  </si>
  <si>
    <t xml:space="preserve">Property (correct name)</t>
  </si>
  <si>
    <t xml:space="preserve">Parent</t>
  </si>
  <si>
    <t xml:space="preserve">Correct action</t>
  </si>
  <si>
    <t xml:space="preserve">Real / invented</t>
  </si>
  <si>
    <t xml:space="preserve">Real – Kerala Tourism homestay</t>
  </si>
  <si>
    <t xml:space="preserve">Royal Mist</t>
  </si>
  <si>
    <t xml:space="preserve">Real – already on Tripadvisor</t>
  </si>
  <si>
    <t xml:space="preserve">Real – not lodging</t>
  </si>
  <si>
    <t xml:space="preserve">Invented (training only)</t>
  </si>
  <si>
    <t xml:space="preserve">Linn View Home Stay Munnar</t>
  </si>
  <si>
    <t xml:space="preserve">Hill Mist</t>
  </si>
  <si>
    <t xml:space="preserve">Paddy N Canal Homestay</t>
  </si>
  <si>
    <t xml:space="preserve">Blue Lagoon Mundro Homestay</t>
  </si>
  <si>
    <t xml:space="preserve">Greenshore</t>
  </si>
  <si>
    <t xml:space="preserve">Payyoli, Kozhikode District, Kerala, India</t>
  </si>
  <si>
    <t xml:space="preserve">Muthalamada, Palakkad District, Kerala, India</t>
  </si>
  <si>
    <t xml:space="preserve">Happy Valley Home Stay</t>
  </si>
  <si>
    <t xml:space="preserve">Taliparamba, Kannur District, Kerala, India</t>
  </si>
  <si>
    <t xml:space="preserve">Meadows: Kannur's Serene Retreat Homestay</t>
  </si>
  <si>
    <t xml:space="preserve">Aathira Agri-Homes</t>
  </si>
  <si>
    <t xml:space="preserve">Chalakudy, Thrissur District, Kerala, India</t>
  </si>
  <si>
    <t xml:space="preserve">Maliyeckal Homestay</t>
  </si>
  <si>
    <t xml:space="preserve">Evara Residency Homestay</t>
  </si>
  <si>
    <t xml:space="preserve">Mararikulam, Alappuzha District, Kerala, India</t>
  </si>
  <si>
    <t xml:space="preserve">Nickies Nest Homestay</t>
  </si>
  <si>
    <t xml:space="preserve">The Nest Homestay</t>
  </si>
  <si>
    <t xml:space="preserve">Correct-action mix per day</t>
  </si>
  <si>
    <t xml:space="preserve">Action</t>
  </si>
  <si>
    <t xml:space="preserve">Day 1</t>
  </si>
  <si>
    <t xml:space="preserve">Day 2</t>
  </si>
  <si>
    <t xml:space="preserve">Day 3</t>
  </si>
  <si>
    <t xml:space="preserve">Day 4</t>
  </si>
  <si>
    <t xml:space="preserve">Day 5</t>
  </si>
  <si>
    <t xml:space="preserve">Total</t>
  </si>
  <si>
    <t xml:space="preserve">Tier 1</t>
  </si>
  <si>
    <t xml:space="preserve">Defer</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</si>
</sst>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4"/>
      <color rgb="FF00704A"/>
      <name val="Arial"/>
      <family val="0"/>
      <charset val="1"/>
    </font>
    <font>
      <i val="true"/>
      <sz val="9"/>
      <color rgb="FF6B7785"/>
      <name val="Arial"/>
      <family val="0"/>
      <charset val="1"/>
    </font>
    <font>
      <b val="true"/>
      <sz val="10"/>
      <color rgb="FFFFFFFF"/>
      <name val="Arial"/>
      <family val="0"/>
      <charset val="1"/>
    </font>
    <font>
      <sz val="9.5"/>
      <name val="Arial"/>
      <family val="0"/>
      <charset val="1"/>
    </font>
    <font>
      <u val="single"/>
      <sz val="9.5"/>
      <color rgb="FF1667C4"/>
      <name val="Arial"/>
      <family val="0"/>
      <charset val="1"/>
    </font>
    <font>
      <b val="true"/>
      <sz val="13"/>
      <color rgb="FF00704A"/>
      <name val="Arial"/>
      <family val="0"/>
      <charset val="1"/>
    </font>
    <font>
      <b val="true"/>
      <sz val="11"/>
      <color rgb="FFFFFFFF"/>
      <name val="Arial"/>
      <family val="0"/>
      <charset val="1"/>
    </font>
    <font>
      <sz val="10"/>
      <name val="Arial"/>
      <family val="0"/>
      <charset val="1"/>
    </font>
    <font>
      <b val="true"/>
      <sz val="11"/>
      <name val="Arial"/>
      <family val="0"/>
      <charset val="1"/>
    </font>
    <font>
      <sz val="11"/>
      <name val="Arial"/>
      <family val="0"/>
      <charset val="1"/>
    </font>
  </fonts>
  <fills count="8">
    <fill>
      <patternFill patternType="none"/>
    </fill>
    <fill>
      <patternFill patternType="gray125"/>
    </fill>
    <fill>
      <patternFill patternType="solid">
        <fgColor rgb="FF00704A"/>
        <bgColor rgb="FF008080"/>
      </patternFill>
    </fill>
    <fill>
      <patternFill patternType="solid">
        <fgColor rgb="FFE8F7F0"/>
        <bgColor rgb="FFEEF4FB"/>
      </patternFill>
    </fill>
    <fill>
      <patternFill patternType="solid">
        <fgColor rgb="FFEEF4FB"/>
        <bgColor rgb="FFE8F7F0"/>
      </patternFill>
    </fill>
    <fill>
      <patternFill patternType="solid">
        <fgColor rgb="FFFFF8E6"/>
        <bgColor rgb="FFFDEEEE"/>
      </patternFill>
    </fill>
    <fill>
      <patternFill patternType="solid">
        <fgColor rgb="FFF5EEFB"/>
        <bgColor rgb="FFEEF4FB"/>
      </patternFill>
    </fill>
    <fill>
      <patternFill patternType="solid">
        <fgColor rgb="FFFDEEEE"/>
        <bgColor rgb="FFF5EEFB"/>
      </patternFill>
    </fill>
  </fills>
  <borders count="2">
    <border diagonalUp="false" diagonalDown="false">
      <left/>
      <right/>
      <top/>
      <bottom/>
      <diagonal/>
    </border>
    <border diagonalUp="false" diagonalDown="false">
      <left/>
      <right/>
      <top/>
      <bottom style="thin">
        <color rgb="FFD9DE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4" fontId="11" fillId="5" borderId="0" xfId="0" applyFont="true" applyBorder="false" applyAlignment="false" applyProtection="false">
      <alignment horizontal="general" vertical="bottom" textRotation="0" wrapText="false" indent="0" shrinkToFit="false"/>
      <protection locked="true" hidden="false"/>
    </xf>
    <xf numFmtId="164" fontId="11" fillId="6" borderId="0" xfId="0" applyFont="true" applyBorder="false" applyAlignment="false" applyProtection="false">
      <alignment horizontal="general" vertical="bottom" textRotation="0" wrapText="false" indent="0" shrinkToFit="false"/>
      <protection locked="true" hidden="false"/>
    </xf>
    <xf numFmtId="164" fontId="11" fillId="7"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00704A"/>
          <bgColor rgb="FF000000"/>
        </patternFill>
      </fill>
    </dxf>
    <dxf>
      <fill>
        <patternFill patternType="solid">
          <fgColor rgb="FFE8F7F0"/>
          <bgColor rgb="FF000000"/>
        </patternFill>
      </fill>
    </dxf>
    <dxf>
      <fill>
        <patternFill patternType="solid">
          <fgColor rgb="FFEEF4FB"/>
          <bgColor rgb="FF000000"/>
        </patternFill>
      </fill>
    </dxf>
    <dxf>
      <fill>
        <patternFill patternType="solid">
          <fgColor rgb="FFF5EEFB"/>
          <bgColor rgb="FF000000"/>
        </patternFill>
      </fill>
    </dxf>
    <dxf>
      <fill>
        <patternFill patternType="solid">
          <fgColor rgb="FFFDEEEE"/>
          <bgColor rgb="FF000000"/>
        </patternFill>
      </fill>
    </dxf>
    <dxf>
      <fill>
        <patternFill patternType="solid">
          <fgColor rgb="FFFFF8E6"/>
          <bgColor rgb="FF000000"/>
        </patternFill>
      </fill>
    </dxf>
    <dxf>
      <fill>
        <patternFill patternType="solid">
          <fgColor rgb="FFFFFFFF"/>
          <bgColor rgb="FF000000"/>
        </patternFill>
      </fill>
    </dxf>
    <dxf>
      <fill>
        <patternFill patternType="solid">
          <bgColor rgb="FF000000"/>
        </patternFill>
      </fill>
    </dxf>
    <dxf>
      <fill>
        <patternFill patternType="solid">
          <fgColor rgb="FF1667C4"/>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704A"/>
      <rgbColor rgb="FFC0C0C0"/>
      <rgbColor rgb="FF6B7785"/>
      <rgbColor rgb="FF9999FF"/>
      <rgbColor rgb="FF993366"/>
      <rgbColor rgb="FFFFF8E6"/>
      <rgbColor rgb="FFE8F7F0"/>
      <rgbColor rgb="FF660066"/>
      <rgbColor rgb="FFFF8080"/>
      <rgbColor rgb="FF1667C4"/>
      <rgbColor rgb="FFD9DEE4"/>
      <rgbColor rgb="FF000080"/>
      <rgbColor rgb="FFFF00FF"/>
      <rgbColor rgb="FFFFFF00"/>
      <rgbColor rgb="FF00FFFF"/>
      <rgbColor rgb="FF800080"/>
      <rgbColor rgb="FF800000"/>
      <rgbColor rgb="FF008080"/>
      <rgbColor rgb="FF0000FF"/>
      <rgbColor rgb="FF00CCFF"/>
      <rgbColor rgb="FFEEF4FB"/>
      <rgbColor rgb="FFF5EEFB"/>
      <rgbColor rgb="FFFDEEEE"/>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keralatourism.org/homestays/snow-moon-homestay/4038" TargetMode="External"/><Relationship Id="rId2" Type="http://schemas.openxmlformats.org/officeDocument/2006/relationships/hyperlink" Target="https://www.keralatourism.org/homestays/green-horizon-homestay/8482" TargetMode="External"/><Relationship Id="rId3" Type="http://schemas.openxmlformats.org/officeDocument/2006/relationships/hyperlink" Target="https://www.keralatourism.org/homestays/kerala-spices-homestay/8592" TargetMode="External"/><Relationship Id="rId4" Type="http://schemas.openxmlformats.org/officeDocument/2006/relationships/hyperlink" Target="https://www.keralatourism.org/homestays/bougainvillea-homestay/7044" TargetMode="External"/><Relationship Id="rId5" Type="http://schemas.openxmlformats.org/officeDocument/2006/relationships/hyperlink" Target="https://www.keralatourism.org/homestays/ananda-homestay/6508" TargetMode="External"/><Relationship Id="rId6" Type="http://schemas.openxmlformats.org/officeDocument/2006/relationships/hyperlink" Target="https://www.keralatourism.org/homestays/royal-mist/3831" TargetMode="External"/><Relationship Id="rId7" Type="http://schemas.openxmlformats.org/officeDocument/2006/relationships/hyperlink" Target="https://www.keralatourism.org/homestays/thayil-kadaloram-homestay/6232" TargetMode="External"/><Relationship Id="rId8" Type="http://schemas.openxmlformats.org/officeDocument/2006/relationships/hyperlink" Target="https://www.keralatourism.org/homestays/the-haven-munnar/4071" TargetMode="External"/><Relationship Id="rId9" Type="http://schemas.openxmlformats.org/officeDocument/2006/relationships/hyperlink" Target="https://www.keralatourism.org/homestays/linn-view-home-stay-munnar/6228" TargetMode="External"/><Relationship Id="rId10" Type="http://schemas.openxmlformats.org/officeDocument/2006/relationships/hyperlink" Target="https://www.keralatourism.org/homestays/hill-mist/6835" TargetMode="External"/><Relationship Id="rId11" Type="http://schemas.openxmlformats.org/officeDocument/2006/relationships/hyperlink" Target="https://www.keralatourism.org/homestays/angel-homestay/6758" TargetMode="External"/><Relationship Id="rId12" Type="http://schemas.openxmlformats.org/officeDocument/2006/relationships/hyperlink" Target="https://www.keralatourism.org/homestays/paddy-n-canal-homestay/6764" TargetMode="External"/><Relationship Id="rId13" Type="http://schemas.openxmlformats.org/officeDocument/2006/relationships/hyperlink" Target="https://www.keralatourism.org/homestays/illusion-homestay/7271" TargetMode="External"/><Relationship Id="rId14" Type="http://schemas.openxmlformats.org/officeDocument/2006/relationships/hyperlink" Target="https://www.keralatourism.org/homestays/blue-lagoon-mundro-homestay/8967" TargetMode="External"/><Relationship Id="rId15" Type="http://schemas.openxmlformats.org/officeDocument/2006/relationships/hyperlink" Target="https://www.keralatourism.org/homestays/signature-homestay/6378" TargetMode="External"/><Relationship Id="rId16" Type="http://schemas.openxmlformats.org/officeDocument/2006/relationships/hyperlink" Target="https://www.keralatourism.org/homestays/greenshore/7757" TargetMode="External"/><Relationship Id="rId17" Type="http://schemas.openxmlformats.org/officeDocument/2006/relationships/hyperlink" Target="https://www.keralatourism.org/homestays/mangal-caverns-homestay/6752" TargetMode="External"/><Relationship Id="rId18" Type="http://schemas.openxmlformats.org/officeDocument/2006/relationships/hyperlink" Target="https://www.keralatourism.org/homestays/kalariyullathil-homestay/6659" TargetMode="External"/><Relationship Id="rId19" Type="http://schemas.openxmlformats.org/officeDocument/2006/relationships/hyperlink" Target="https://www.keralatourism.org/homestays/dakshin-ayodhya-homestay/7229" TargetMode="External"/><Relationship Id="rId20" Type="http://schemas.openxmlformats.org/officeDocument/2006/relationships/hyperlink" Target="https://www.keralatourism.org/homestays/pannadikadu-homestay/7301" TargetMode="External"/><Relationship Id="rId21" Type="http://schemas.openxmlformats.org/officeDocument/2006/relationships/hyperlink" Target="https://www.keralatourism.org/homestays/kachiprath-homestay/8427" TargetMode="External"/><Relationship Id="rId22" Type="http://schemas.openxmlformats.org/officeDocument/2006/relationships/hyperlink" Target="https://www.keralatourism.org/homestays/happy-valley-home-stay/8789" TargetMode="External"/><Relationship Id="rId23" Type="http://schemas.openxmlformats.org/officeDocument/2006/relationships/hyperlink" Target="https://www.keralatourism.org/homestays/meadows-kannurs-serene-retreat-homestay/6952" TargetMode="External"/><Relationship Id="rId24" Type="http://schemas.openxmlformats.org/officeDocument/2006/relationships/hyperlink" Target="https://www.keralatourism.org/homestays/spice-garden-residency/6363" TargetMode="External"/><Relationship Id="rId25" Type="http://schemas.openxmlformats.org/officeDocument/2006/relationships/hyperlink" Target="https://www.keralatourism.org/homestays/aathira-agri-homes/7136" TargetMode="External"/><Relationship Id="rId26" Type="http://schemas.openxmlformats.org/officeDocument/2006/relationships/hyperlink" Target="https://www.keralatourism.org/homestays/maliyeckal-homestay/5960" TargetMode="External"/><Relationship Id="rId27" Type="http://schemas.openxmlformats.org/officeDocument/2006/relationships/hyperlink" Target="https://www.keralatourism.org/homestays/evara-residency-homestay/7555" TargetMode="External"/><Relationship Id="rId28" Type="http://schemas.openxmlformats.org/officeDocument/2006/relationships/hyperlink" Target="https://www.keralatourism.org/homestays/nickies-nest-homestay/8246" TargetMode="External"/><Relationship Id="rId29" Type="http://schemas.openxmlformats.org/officeDocument/2006/relationships/hyperlink" Target="https://www.keralatourism.org/homestays/the-nest-homestay/7020" TargetMode="External"/><Relationship Id="rId30" Type="http://schemas.openxmlformats.org/officeDocument/2006/relationships/hyperlink" Target="https://www.keralatourism.org/homestays/brick-house/7103" TargetMode="External"/><Relationship Id="rId3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5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3" min="1" style="0" width="12"/>
    <col collapsed="false" customWidth="true" hidden="false" outlineLevel="0" max="4" min="4" style="0" width="28"/>
    <col collapsed="false" customWidth="true" hidden="false" outlineLevel="0" max="5" min="5" style="0" width="30"/>
    <col collapsed="false" customWidth="true" hidden="false" outlineLevel="0" max="6" min="6" style="0" width="40"/>
    <col collapsed="false" customWidth="true" hidden="false" outlineLevel="0" max="7" min="7" style="0" width="12"/>
    <col collapsed="false" customWidth="true" hidden="false" outlineLevel="0" max="8" min="8" style="0" width="30"/>
    <col collapsed="false" customWidth="true" hidden="false" outlineLevel="0" max="9" min="9" style="0" width="34"/>
    <col collapsed="false" customWidth="true" hidden="false" outlineLevel="0" max="10" min="10" style="0" width="22"/>
    <col collapsed="false" customWidth="true" hidden="false" outlineLevel="0" max="11" min="11" style="0" width="12"/>
    <col collapsed="false" customWidth="true" hidden="false" outlineLevel="0" max="12" min="12" style="0" width="30"/>
    <col collapsed="false" customWidth="true" hidden="false" outlineLevel="0" max="13" min="13" style="0" width="32"/>
    <col collapsed="false" customWidth="true" hidden="false" outlineLevel="0" max="14" min="14" style="0" width="30"/>
    <col collapsed="false" customWidth="true" hidden="false" outlineLevel="0" max="21" min="15" style="0" width="12"/>
    <col collapsed="false" customWidth="true" hidden="false" outlineLevel="0" max="22" min="22" style="0" width="70"/>
    <col collapsed="false" customWidth="true" hidden="false" outlineLevel="0" max="23" min="23" style="0" width="52"/>
  </cols>
  <sheetData>
    <row r="1" customFormat="false" ht="17.35" hidden="false" customHeight="false" outlineLevel="0" collapsed="false">
      <c r="A1" s="1" t="s">
        <v>0</v>
      </c>
    </row>
    <row r="2" customFormat="false" ht="15" hidden="false" customHeight="false" outlineLevel="0" collapsed="false">
      <c r="A2" s="2" t="s">
        <v>1</v>
      </c>
    </row>
    <row r="4" customFormat="false" ht="30"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3" t="s">
        <v>21</v>
      </c>
      <c r="U4" s="3" t="s">
        <v>22</v>
      </c>
      <c r="V4" s="3" t="s">
        <v>23</v>
      </c>
      <c r="W4" s="3" t="s">
        <v>24</v>
      </c>
    </row>
    <row r="5" customFormat="false" ht="35.05" hidden="false" customHeight="false" outlineLevel="0" collapsed="false">
      <c r="A5" s="4" t="s">
        <v>25</v>
      </c>
      <c r="B5" s="4" t="n">
        <v>1</v>
      </c>
      <c r="C5" s="4" t="n">
        <v>1</v>
      </c>
      <c r="D5" s="4" t="s">
        <v>26</v>
      </c>
      <c r="E5" s="4" t="s">
        <v>27</v>
      </c>
      <c r="F5" s="4" t="s">
        <v>28</v>
      </c>
      <c r="G5" s="4" t="s">
        <v>29</v>
      </c>
      <c r="H5" s="4" t="s">
        <v>30</v>
      </c>
      <c r="I5" s="4" t="s">
        <v>31</v>
      </c>
      <c r="J5" s="4"/>
      <c r="K5" s="4" t="s">
        <v>32</v>
      </c>
      <c r="L5" s="4" t="s">
        <v>33</v>
      </c>
      <c r="M5" s="4" t="s">
        <v>34</v>
      </c>
      <c r="N5" s="4" t="s">
        <v>35</v>
      </c>
      <c r="O5" s="4" t="s">
        <v>36</v>
      </c>
      <c r="P5" s="4"/>
      <c r="Q5" s="4" t="n">
        <v>10.028392</v>
      </c>
      <c r="R5" s="4" t="n">
        <v>77.045577</v>
      </c>
      <c r="S5" s="4" t="n">
        <v>300</v>
      </c>
      <c r="T5" s="4" t="n">
        <v>10.0402</v>
      </c>
      <c r="U5" s="4" t="n">
        <v>77.0571</v>
      </c>
      <c r="V5" s="4" t="s">
        <v>37</v>
      </c>
      <c r="W5" s="5" t="s">
        <v>38</v>
      </c>
    </row>
    <row r="6" customFormat="false" ht="23.85" hidden="false" customHeight="false" outlineLevel="0" collapsed="false">
      <c r="A6" s="4" t="s">
        <v>39</v>
      </c>
      <c r="B6" s="4" t="n">
        <v>1</v>
      </c>
      <c r="C6" s="4" t="n">
        <v>2</v>
      </c>
      <c r="D6" s="4" t="s">
        <v>40</v>
      </c>
      <c r="E6" s="4" t="s">
        <v>41</v>
      </c>
      <c r="F6" s="4" t="s">
        <v>42</v>
      </c>
      <c r="G6" s="4" t="s">
        <v>29</v>
      </c>
      <c r="H6" s="4" t="s">
        <v>30</v>
      </c>
      <c r="I6" s="4" t="s">
        <v>43</v>
      </c>
      <c r="J6" s="4"/>
      <c r="K6" s="4" t="s">
        <v>44</v>
      </c>
      <c r="L6" s="4" t="s">
        <v>45</v>
      </c>
      <c r="M6" s="4" t="s">
        <v>46</v>
      </c>
      <c r="N6" s="4" t="s">
        <v>47</v>
      </c>
      <c r="O6" s="4" t="s">
        <v>36</v>
      </c>
      <c r="P6" s="4"/>
      <c r="Q6" s="4" t="n">
        <v>9.966791</v>
      </c>
      <c r="R6" s="4" t="n">
        <v>76.244514</v>
      </c>
      <c r="S6" s="4" t="n">
        <v>250</v>
      </c>
      <c r="T6" s="4" t="n">
        <v>33.5597</v>
      </c>
      <c r="U6" s="4" t="n">
        <v>133.5311</v>
      </c>
      <c r="V6" s="4" t="s">
        <v>48</v>
      </c>
      <c r="W6" s="5" t="s">
        <v>49</v>
      </c>
    </row>
    <row r="7" customFormat="false" ht="35.05" hidden="false" customHeight="false" outlineLevel="0" collapsed="false">
      <c r="A7" s="4" t="s">
        <v>50</v>
      </c>
      <c r="B7" s="4" t="n">
        <v>1</v>
      </c>
      <c r="C7" s="4" t="n">
        <v>3</v>
      </c>
      <c r="D7" s="4" t="s">
        <v>51</v>
      </c>
      <c r="E7" s="4" t="s">
        <v>52</v>
      </c>
      <c r="F7" s="4" t="s">
        <v>53</v>
      </c>
      <c r="G7" s="4" t="s">
        <v>29</v>
      </c>
      <c r="H7" s="4" t="s">
        <v>30</v>
      </c>
      <c r="I7" s="4" t="s">
        <v>54</v>
      </c>
      <c r="J7" s="4" t="s">
        <v>55</v>
      </c>
      <c r="K7" s="4" t="s">
        <v>56</v>
      </c>
      <c r="L7" s="4" t="s">
        <v>57</v>
      </c>
      <c r="M7" s="4" t="s">
        <v>58</v>
      </c>
      <c r="N7" s="4" t="s">
        <v>59</v>
      </c>
      <c r="O7" s="4" t="s">
        <v>36</v>
      </c>
      <c r="P7" s="4"/>
      <c r="Q7" s="4" t="n">
        <v>9.610758</v>
      </c>
      <c r="R7" s="4" t="n">
        <v>77.161763</v>
      </c>
      <c r="S7" s="4" t="n">
        <v>300</v>
      </c>
      <c r="T7" s="4" t="n">
        <v>9.604</v>
      </c>
      <c r="U7" s="4" t="n">
        <v>77.168</v>
      </c>
      <c r="V7" s="4" t="s">
        <v>60</v>
      </c>
      <c r="W7" s="5" t="s">
        <v>61</v>
      </c>
    </row>
    <row r="8" customFormat="false" ht="23.85" hidden="false" customHeight="false" outlineLevel="0" collapsed="false">
      <c r="A8" s="4" t="s">
        <v>62</v>
      </c>
      <c r="B8" s="4" t="n">
        <v>1</v>
      </c>
      <c r="C8" s="4" t="n">
        <v>4</v>
      </c>
      <c r="D8" s="4" t="s">
        <v>63</v>
      </c>
      <c r="E8" s="4" t="s">
        <v>64</v>
      </c>
      <c r="F8" s="4" t="s">
        <v>65</v>
      </c>
      <c r="G8" s="4" t="s">
        <v>29</v>
      </c>
      <c r="H8" s="4" t="s">
        <v>30</v>
      </c>
      <c r="I8" s="4" t="s">
        <v>66</v>
      </c>
      <c r="J8" s="4"/>
      <c r="K8" s="4" t="s">
        <v>67</v>
      </c>
      <c r="L8" s="4" t="s">
        <v>68</v>
      </c>
      <c r="M8" s="4" t="s">
        <v>69</v>
      </c>
      <c r="N8" s="4" t="s">
        <v>70</v>
      </c>
      <c r="O8" s="4" t="s">
        <v>36</v>
      </c>
      <c r="P8" s="4"/>
      <c r="Q8" s="4" t="n">
        <v>8.737694</v>
      </c>
      <c r="R8" s="4" t="n">
        <v>76.706133</v>
      </c>
      <c r="S8" s="4" t="n">
        <v>250</v>
      </c>
      <c r="T8" s="4" t="n">
        <v>8.7379</v>
      </c>
      <c r="U8" s="4" t="n">
        <v>76.7163</v>
      </c>
      <c r="V8" s="4" t="s">
        <v>71</v>
      </c>
      <c r="W8" s="5" t="s">
        <v>72</v>
      </c>
    </row>
    <row r="9" customFormat="false" ht="35.05" hidden="false" customHeight="false" outlineLevel="0" collapsed="false">
      <c r="A9" s="4" t="s">
        <v>73</v>
      </c>
      <c r="B9" s="4" t="n">
        <v>1</v>
      </c>
      <c r="C9" s="4" t="n">
        <v>5</v>
      </c>
      <c r="D9" s="4" t="s">
        <v>74</v>
      </c>
      <c r="E9" s="4" t="s">
        <v>75</v>
      </c>
      <c r="F9" s="4" t="s">
        <v>76</v>
      </c>
      <c r="G9" s="4" t="s">
        <v>29</v>
      </c>
      <c r="H9" s="4" t="s">
        <v>30</v>
      </c>
      <c r="I9" s="4" t="s">
        <v>77</v>
      </c>
      <c r="J9" s="4"/>
      <c r="K9" s="4" t="s">
        <v>78</v>
      </c>
      <c r="L9" s="4" t="s">
        <v>79</v>
      </c>
      <c r="M9" s="4" t="s">
        <v>80</v>
      </c>
      <c r="N9" s="4" t="s">
        <v>81</v>
      </c>
      <c r="O9" s="4" t="s">
        <v>36</v>
      </c>
      <c r="P9" s="4" t="s">
        <v>82</v>
      </c>
      <c r="Q9" s="4" t="n">
        <v>11.5952849</v>
      </c>
      <c r="R9" s="4" t="n">
        <v>76.1847973</v>
      </c>
      <c r="S9" s="4" t="n">
        <v>300</v>
      </c>
      <c r="T9" s="4" t="n">
        <v>11.6103</v>
      </c>
      <c r="U9" s="4" t="n">
        <v>76.083</v>
      </c>
      <c r="V9" s="4" t="s">
        <v>83</v>
      </c>
      <c r="W9" s="5" t="s">
        <v>84</v>
      </c>
    </row>
    <row r="10" customFormat="false" ht="23.85" hidden="false" customHeight="false" outlineLevel="0" collapsed="false">
      <c r="A10" s="4" t="s">
        <v>85</v>
      </c>
      <c r="B10" s="4" t="n">
        <v>1</v>
      </c>
      <c r="C10" s="4" t="n">
        <v>6</v>
      </c>
      <c r="D10" s="4" t="s">
        <v>86</v>
      </c>
      <c r="E10" s="4" t="s">
        <v>87</v>
      </c>
      <c r="F10" s="4" t="s">
        <v>28</v>
      </c>
      <c r="G10" s="4" t="s">
        <v>29</v>
      </c>
      <c r="H10" s="4" t="s">
        <v>30</v>
      </c>
      <c r="I10" s="4" t="s">
        <v>88</v>
      </c>
      <c r="J10" s="4"/>
      <c r="K10" s="4" t="s">
        <v>32</v>
      </c>
      <c r="L10" s="4" t="s">
        <v>89</v>
      </c>
      <c r="M10" s="4" t="s">
        <v>90</v>
      </c>
      <c r="N10" s="4" t="s">
        <v>91</v>
      </c>
      <c r="O10" s="4" t="s">
        <v>36</v>
      </c>
      <c r="P10" s="4"/>
      <c r="Q10" s="4" t="n">
        <v>10.030762</v>
      </c>
      <c r="R10" s="4" t="n">
        <v>77.037892</v>
      </c>
      <c r="S10" s="4" t="n">
        <v>300</v>
      </c>
      <c r="T10" s="4" t="n">
        <v>10.0889</v>
      </c>
      <c r="U10" s="4" t="n">
        <v>77.0595</v>
      </c>
      <c r="V10" s="4" t="s">
        <v>92</v>
      </c>
      <c r="W10" s="5" t="s">
        <v>93</v>
      </c>
    </row>
    <row r="11" customFormat="false" ht="35.05" hidden="false" customHeight="false" outlineLevel="0" collapsed="false">
      <c r="A11" s="4" t="s">
        <v>94</v>
      </c>
      <c r="B11" s="4" t="n">
        <v>1</v>
      </c>
      <c r="C11" s="4" t="n">
        <v>7</v>
      </c>
      <c r="D11" s="4" t="s">
        <v>95</v>
      </c>
      <c r="E11" s="4" t="s">
        <v>95</v>
      </c>
      <c r="F11" s="4" t="s">
        <v>96</v>
      </c>
      <c r="G11" s="4" t="s">
        <v>29</v>
      </c>
      <c r="H11" s="4" t="s">
        <v>30</v>
      </c>
      <c r="I11" s="4" t="s">
        <v>97</v>
      </c>
      <c r="J11" s="4"/>
      <c r="K11" s="4" t="s">
        <v>98</v>
      </c>
      <c r="L11" s="4" t="s">
        <v>99</v>
      </c>
      <c r="M11" s="4" t="s">
        <v>100</v>
      </c>
      <c r="N11" s="4" t="s">
        <v>101</v>
      </c>
      <c r="O11" s="4" t="s">
        <v>36</v>
      </c>
      <c r="P11" s="4"/>
      <c r="Q11" s="4" t="n">
        <v>8.390082</v>
      </c>
      <c r="R11" s="4" t="n">
        <v>76.976099</v>
      </c>
      <c r="S11" s="4" t="n">
        <v>250</v>
      </c>
      <c r="T11" s="4" t="n">
        <v>12.79</v>
      </c>
      <c r="U11" s="4" t="n">
        <v>80.254</v>
      </c>
      <c r="V11" s="4" t="s">
        <v>102</v>
      </c>
      <c r="W11" s="5" t="s">
        <v>103</v>
      </c>
    </row>
    <row r="12" customFormat="false" ht="35.05" hidden="false" customHeight="false" outlineLevel="0" collapsed="false">
      <c r="A12" s="4" t="s">
        <v>104</v>
      </c>
      <c r="B12" s="4" t="n">
        <v>1</v>
      </c>
      <c r="C12" s="4" t="n">
        <v>8</v>
      </c>
      <c r="D12" s="4" t="s">
        <v>105</v>
      </c>
      <c r="E12" s="4" t="s">
        <v>106</v>
      </c>
      <c r="F12" s="4" t="s">
        <v>107</v>
      </c>
      <c r="G12" s="4" t="s">
        <v>108</v>
      </c>
      <c r="H12" s="4" t="s">
        <v>109</v>
      </c>
      <c r="I12" s="4"/>
      <c r="J12" s="4"/>
      <c r="K12" s="4"/>
      <c r="L12" s="4"/>
      <c r="M12" s="4"/>
      <c r="N12" s="4"/>
      <c r="O12" s="4" t="s">
        <v>110</v>
      </c>
      <c r="P12" s="4"/>
      <c r="Q12" s="4" t="n">
        <v>9.6176</v>
      </c>
      <c r="R12" s="4" t="n">
        <v>76.4278</v>
      </c>
      <c r="S12" s="4"/>
      <c r="T12" s="4" t="n">
        <v>9.6176</v>
      </c>
      <c r="U12" s="4" t="n">
        <v>76.4278</v>
      </c>
      <c r="V12" s="4" t="s">
        <v>111</v>
      </c>
      <c r="W12" s="4"/>
    </row>
    <row r="13" customFormat="false" ht="23.85" hidden="false" customHeight="false" outlineLevel="0" collapsed="false">
      <c r="A13" s="4" t="s">
        <v>112</v>
      </c>
      <c r="B13" s="4" t="n">
        <v>1</v>
      </c>
      <c r="C13" s="4" t="n">
        <v>9</v>
      </c>
      <c r="D13" s="4" t="s">
        <v>113</v>
      </c>
      <c r="E13" s="4" t="s">
        <v>114</v>
      </c>
      <c r="F13" s="4" t="s">
        <v>42</v>
      </c>
      <c r="G13" s="4" t="s">
        <v>115</v>
      </c>
      <c r="H13" s="4" t="s">
        <v>116</v>
      </c>
      <c r="I13" s="4"/>
      <c r="J13" s="4"/>
      <c r="K13" s="4"/>
      <c r="L13" s="4"/>
      <c r="M13" s="4"/>
      <c r="N13" s="4"/>
      <c r="O13" s="4" t="s">
        <v>117</v>
      </c>
      <c r="P13" s="4"/>
      <c r="Q13" s="4" t="n">
        <v>9.9583</v>
      </c>
      <c r="R13" s="4" t="n">
        <v>76.2593</v>
      </c>
      <c r="S13" s="4"/>
      <c r="T13" s="4" t="n">
        <v>9.9583</v>
      </c>
      <c r="U13" s="4" t="n">
        <v>76.2593</v>
      </c>
      <c r="V13" s="4" t="s">
        <v>118</v>
      </c>
      <c r="W13" s="4"/>
    </row>
    <row r="14" customFormat="false" ht="35.05" hidden="false" customHeight="false" outlineLevel="0" collapsed="false">
      <c r="A14" s="4" t="s">
        <v>119</v>
      </c>
      <c r="B14" s="4" t="n">
        <v>1</v>
      </c>
      <c r="C14" s="4" t="n">
        <v>10</v>
      </c>
      <c r="D14" s="4" t="s">
        <v>120</v>
      </c>
      <c r="E14" s="4" t="s">
        <v>120</v>
      </c>
      <c r="F14" s="4" t="s">
        <v>53</v>
      </c>
      <c r="G14" s="4" t="s">
        <v>115</v>
      </c>
      <c r="H14" s="4" t="s">
        <v>121</v>
      </c>
      <c r="I14" s="4"/>
      <c r="J14" s="4"/>
      <c r="K14" s="4"/>
      <c r="L14" s="4"/>
      <c r="M14" s="4"/>
      <c r="N14" s="4"/>
      <c r="O14" s="4"/>
      <c r="P14" s="4"/>
      <c r="Q14" s="4" t="n">
        <v>9.608</v>
      </c>
      <c r="R14" s="4" t="n">
        <v>77.166</v>
      </c>
      <c r="S14" s="4"/>
      <c r="T14" s="4" t="n">
        <v>9.608</v>
      </c>
      <c r="U14" s="4" t="n">
        <v>77.166</v>
      </c>
      <c r="V14" s="4" t="s">
        <v>122</v>
      </c>
      <c r="W14" s="4"/>
    </row>
    <row r="15" customFormat="false" ht="23.85" hidden="false" customHeight="false" outlineLevel="0" collapsed="false">
      <c r="A15" s="6" t="s">
        <v>123</v>
      </c>
      <c r="B15" s="6" t="n">
        <v>2</v>
      </c>
      <c r="C15" s="6" t="n">
        <v>1</v>
      </c>
      <c r="D15" s="6" t="s">
        <v>124</v>
      </c>
      <c r="E15" s="6" t="s">
        <v>125</v>
      </c>
      <c r="F15" s="6" t="s">
        <v>28</v>
      </c>
      <c r="G15" s="6" t="s">
        <v>29</v>
      </c>
      <c r="H15" s="6" t="s">
        <v>30</v>
      </c>
      <c r="I15" s="6" t="s">
        <v>126</v>
      </c>
      <c r="J15" s="6"/>
      <c r="K15" s="6" t="s">
        <v>32</v>
      </c>
      <c r="L15" s="6" t="s">
        <v>127</v>
      </c>
      <c r="M15" s="6" t="s">
        <v>128</v>
      </c>
      <c r="N15" s="6" t="s">
        <v>129</v>
      </c>
      <c r="O15" s="6" t="s">
        <v>36</v>
      </c>
      <c r="P15" s="6"/>
      <c r="Q15" s="6" t="n">
        <v>10.025238</v>
      </c>
      <c r="R15" s="6" t="n">
        <v>77.026144</v>
      </c>
      <c r="S15" s="6" t="n">
        <v>250</v>
      </c>
      <c r="T15" s="6" t="n">
        <v>10.0251</v>
      </c>
      <c r="U15" s="6" t="n">
        <v>77.0263</v>
      </c>
      <c r="V15" s="6" t="s">
        <v>130</v>
      </c>
      <c r="W15" s="7" t="s">
        <v>131</v>
      </c>
    </row>
    <row r="16" customFormat="false" ht="35.05" hidden="false" customHeight="false" outlineLevel="0" collapsed="false">
      <c r="A16" s="6" t="s">
        <v>132</v>
      </c>
      <c r="B16" s="6" t="n">
        <v>2</v>
      </c>
      <c r="C16" s="6" t="n">
        <v>2</v>
      </c>
      <c r="D16" s="6" t="s">
        <v>133</v>
      </c>
      <c r="E16" s="6" t="s">
        <v>134</v>
      </c>
      <c r="F16" s="6" t="s">
        <v>28</v>
      </c>
      <c r="G16" s="6" t="s">
        <v>29</v>
      </c>
      <c r="H16" s="6" t="s">
        <v>30</v>
      </c>
      <c r="I16" s="6" t="s">
        <v>135</v>
      </c>
      <c r="J16" s="6"/>
      <c r="K16" s="6" t="s">
        <v>136</v>
      </c>
      <c r="L16" s="6" t="s">
        <v>137</v>
      </c>
      <c r="M16" s="6" t="s">
        <v>138</v>
      </c>
      <c r="N16" s="6" t="s">
        <v>101</v>
      </c>
      <c r="O16" s="6" t="s">
        <v>36</v>
      </c>
      <c r="P16" s="6"/>
      <c r="Q16" s="6" t="n">
        <v>10.006629</v>
      </c>
      <c r="R16" s="6" t="n">
        <v>77.006671</v>
      </c>
      <c r="S16" s="6" t="n">
        <v>300</v>
      </c>
      <c r="T16" s="6" t="n">
        <v>10.0066</v>
      </c>
      <c r="U16" s="6" t="n">
        <v>77.0067</v>
      </c>
      <c r="V16" s="6" t="s">
        <v>139</v>
      </c>
      <c r="W16" s="7" t="s">
        <v>140</v>
      </c>
    </row>
    <row r="17" customFormat="false" ht="35.05" hidden="false" customHeight="false" outlineLevel="0" collapsed="false">
      <c r="A17" s="6" t="s">
        <v>141</v>
      </c>
      <c r="B17" s="6" t="n">
        <v>2</v>
      </c>
      <c r="C17" s="6" t="n">
        <v>3</v>
      </c>
      <c r="D17" s="6" t="s">
        <v>142</v>
      </c>
      <c r="E17" s="6" t="s">
        <v>143</v>
      </c>
      <c r="F17" s="6" t="s">
        <v>53</v>
      </c>
      <c r="G17" s="6" t="s">
        <v>29</v>
      </c>
      <c r="H17" s="6" t="s">
        <v>30</v>
      </c>
      <c r="I17" s="6" t="s">
        <v>144</v>
      </c>
      <c r="J17" s="6"/>
      <c r="K17" s="6" t="s">
        <v>56</v>
      </c>
      <c r="L17" s="6" t="s">
        <v>145</v>
      </c>
      <c r="M17" s="6" t="s">
        <v>146</v>
      </c>
      <c r="N17" s="6" t="s">
        <v>101</v>
      </c>
      <c r="O17" s="6" t="s">
        <v>36</v>
      </c>
      <c r="P17" s="6"/>
      <c r="Q17" s="6" t="n">
        <v>9.619458</v>
      </c>
      <c r="R17" s="6" t="n">
        <v>77.162006</v>
      </c>
      <c r="S17" s="6" t="n">
        <v>200</v>
      </c>
      <c r="T17" s="6" t="n">
        <v>9.6195</v>
      </c>
      <c r="U17" s="6" t="n">
        <v>77.162</v>
      </c>
      <c r="V17" s="6" t="s">
        <v>147</v>
      </c>
      <c r="W17" s="7" t="s">
        <v>148</v>
      </c>
    </row>
    <row r="18" customFormat="false" ht="23.85" hidden="false" customHeight="false" outlineLevel="0" collapsed="false">
      <c r="A18" s="6" t="s">
        <v>149</v>
      </c>
      <c r="B18" s="6" t="n">
        <v>2</v>
      </c>
      <c r="C18" s="6" t="n">
        <v>4</v>
      </c>
      <c r="D18" s="6" t="s">
        <v>150</v>
      </c>
      <c r="E18" s="6" t="s">
        <v>150</v>
      </c>
      <c r="F18" s="6" t="s">
        <v>151</v>
      </c>
      <c r="G18" s="6" t="s">
        <v>29</v>
      </c>
      <c r="H18" s="6" t="s">
        <v>30</v>
      </c>
      <c r="I18" s="6" t="s">
        <v>152</v>
      </c>
      <c r="J18" s="6" t="s">
        <v>153</v>
      </c>
      <c r="K18" s="6" t="s">
        <v>154</v>
      </c>
      <c r="L18" s="6" t="s">
        <v>155</v>
      </c>
      <c r="M18" s="6" t="s">
        <v>156</v>
      </c>
      <c r="N18" s="6" t="s">
        <v>101</v>
      </c>
      <c r="O18" s="6" t="s">
        <v>36</v>
      </c>
      <c r="P18" s="6"/>
      <c r="Q18" s="6" t="n">
        <v>9.45074</v>
      </c>
      <c r="R18" s="6" t="n">
        <v>76.34122</v>
      </c>
      <c r="S18" s="6" t="n">
        <v>300</v>
      </c>
      <c r="T18" s="6" t="n">
        <v>9.4981</v>
      </c>
      <c r="U18" s="6" t="n">
        <v>76.3388</v>
      </c>
      <c r="V18" s="6" t="s">
        <v>157</v>
      </c>
      <c r="W18" s="7" t="s">
        <v>158</v>
      </c>
    </row>
    <row r="19" customFormat="false" ht="35.05" hidden="false" customHeight="false" outlineLevel="0" collapsed="false">
      <c r="A19" s="6" t="s">
        <v>159</v>
      </c>
      <c r="B19" s="6" t="n">
        <v>2</v>
      </c>
      <c r="C19" s="6" t="n">
        <v>5</v>
      </c>
      <c r="D19" s="6" t="s">
        <v>160</v>
      </c>
      <c r="E19" s="6" t="s">
        <v>161</v>
      </c>
      <c r="F19" s="6" t="s">
        <v>151</v>
      </c>
      <c r="G19" s="6" t="s">
        <v>29</v>
      </c>
      <c r="H19" s="6" t="s">
        <v>30</v>
      </c>
      <c r="I19" s="6" t="s">
        <v>162</v>
      </c>
      <c r="J19" s="6" t="s">
        <v>163</v>
      </c>
      <c r="K19" s="6" t="s">
        <v>164</v>
      </c>
      <c r="L19" s="6" t="s">
        <v>165</v>
      </c>
      <c r="M19" s="6" t="s">
        <v>166</v>
      </c>
      <c r="N19" s="6" t="s">
        <v>101</v>
      </c>
      <c r="O19" s="6" t="s">
        <v>36</v>
      </c>
      <c r="P19" s="6"/>
      <c r="Q19" s="6" t="n">
        <v>9.4982</v>
      </c>
      <c r="R19" s="6" t="n">
        <v>76.349674</v>
      </c>
      <c r="S19" s="6" t="n">
        <v>200</v>
      </c>
      <c r="T19" s="6" t="n">
        <v>9.4982</v>
      </c>
      <c r="U19" s="6" t="n">
        <v>76.3497</v>
      </c>
      <c r="V19" s="6" t="s">
        <v>167</v>
      </c>
      <c r="W19" s="7" t="s">
        <v>168</v>
      </c>
    </row>
    <row r="20" customFormat="false" ht="57.45" hidden="false" customHeight="false" outlineLevel="0" collapsed="false">
      <c r="A20" s="6" t="s">
        <v>169</v>
      </c>
      <c r="B20" s="6" t="n">
        <v>2</v>
      </c>
      <c r="C20" s="6" t="n">
        <v>6</v>
      </c>
      <c r="D20" s="6" t="s">
        <v>170</v>
      </c>
      <c r="E20" s="6" t="s">
        <v>170</v>
      </c>
      <c r="F20" s="6" t="s">
        <v>65</v>
      </c>
      <c r="G20" s="6" t="s">
        <v>29</v>
      </c>
      <c r="H20" s="6" t="s">
        <v>30</v>
      </c>
      <c r="I20" s="6" t="s">
        <v>171</v>
      </c>
      <c r="J20" s="6"/>
      <c r="K20" s="6" t="s">
        <v>67</v>
      </c>
      <c r="L20" s="6" t="s">
        <v>172</v>
      </c>
      <c r="M20" s="6" t="s">
        <v>173</v>
      </c>
      <c r="N20" s="6" t="s">
        <v>101</v>
      </c>
      <c r="O20" s="6" t="s">
        <v>36</v>
      </c>
      <c r="P20" s="6"/>
      <c r="Q20" s="6" t="n">
        <v>8.73197</v>
      </c>
      <c r="R20" s="6" t="n">
        <v>76.70764</v>
      </c>
      <c r="S20" s="6" t="n">
        <v>200</v>
      </c>
      <c r="T20" s="6" t="n">
        <v>8.732</v>
      </c>
      <c r="U20" s="6" t="n">
        <v>76.7076</v>
      </c>
      <c r="V20" s="6" t="s">
        <v>174</v>
      </c>
      <c r="W20" s="7" t="s">
        <v>175</v>
      </c>
    </row>
    <row r="21" customFormat="false" ht="35.05" hidden="false" customHeight="false" outlineLevel="0" collapsed="false">
      <c r="A21" s="6" t="s">
        <v>176</v>
      </c>
      <c r="B21" s="6" t="n">
        <v>2</v>
      </c>
      <c r="C21" s="6" t="n">
        <v>7</v>
      </c>
      <c r="D21" s="6" t="s">
        <v>177</v>
      </c>
      <c r="E21" s="6" t="s">
        <v>178</v>
      </c>
      <c r="F21" s="6" t="s">
        <v>179</v>
      </c>
      <c r="G21" s="6" t="s">
        <v>29</v>
      </c>
      <c r="H21" s="6" t="s">
        <v>30</v>
      </c>
      <c r="I21" s="6" t="s">
        <v>180</v>
      </c>
      <c r="J21" s="6"/>
      <c r="K21" s="6" t="s">
        <v>181</v>
      </c>
      <c r="L21" s="6" t="s">
        <v>182</v>
      </c>
      <c r="M21" s="6" t="s">
        <v>183</v>
      </c>
      <c r="N21" s="6" t="s">
        <v>184</v>
      </c>
      <c r="O21" s="6" t="s">
        <v>36</v>
      </c>
      <c r="P21" s="6"/>
      <c r="Q21" s="6" t="n">
        <v>8.992646</v>
      </c>
      <c r="R21" s="6" t="n">
        <v>76.643463</v>
      </c>
      <c r="S21" s="6" t="n">
        <v>300</v>
      </c>
      <c r="T21" s="6" t="n">
        <v>8.8932</v>
      </c>
      <c r="U21" s="6" t="n">
        <v>76.6141</v>
      </c>
      <c r="V21" s="6" t="s">
        <v>185</v>
      </c>
      <c r="W21" s="7" t="s">
        <v>186</v>
      </c>
    </row>
    <row r="22" customFormat="false" ht="35.05" hidden="false" customHeight="false" outlineLevel="0" collapsed="false">
      <c r="A22" s="6" t="s">
        <v>187</v>
      </c>
      <c r="B22" s="6" t="n">
        <v>2</v>
      </c>
      <c r="C22" s="6" t="n">
        <v>8</v>
      </c>
      <c r="D22" s="6" t="s">
        <v>188</v>
      </c>
      <c r="E22" s="6" t="s">
        <v>189</v>
      </c>
      <c r="F22" s="6" t="s">
        <v>42</v>
      </c>
      <c r="G22" s="6" t="s">
        <v>108</v>
      </c>
      <c r="H22" s="6" t="s">
        <v>109</v>
      </c>
      <c r="I22" s="6"/>
      <c r="J22" s="6"/>
      <c r="K22" s="6"/>
      <c r="L22" s="6"/>
      <c r="M22" s="6"/>
      <c r="N22" s="6"/>
      <c r="O22" s="6" t="s">
        <v>190</v>
      </c>
      <c r="P22" s="6"/>
      <c r="Q22" s="6" t="n">
        <v>9.9666</v>
      </c>
      <c r="R22" s="6" t="n">
        <v>76.2427</v>
      </c>
      <c r="S22" s="6"/>
      <c r="T22" s="6" t="n">
        <v>9.9666</v>
      </c>
      <c r="U22" s="6" t="n">
        <v>76.2427</v>
      </c>
      <c r="V22" s="6" t="s">
        <v>191</v>
      </c>
      <c r="W22" s="6"/>
    </row>
    <row r="23" customFormat="false" ht="23.85" hidden="false" customHeight="false" outlineLevel="0" collapsed="false">
      <c r="A23" s="6" t="s">
        <v>192</v>
      </c>
      <c r="B23" s="6" t="n">
        <v>2</v>
      </c>
      <c r="C23" s="6" t="n">
        <v>9</v>
      </c>
      <c r="D23" s="6" t="s">
        <v>193</v>
      </c>
      <c r="E23" s="6" t="s">
        <v>194</v>
      </c>
      <c r="F23" s="6" t="s">
        <v>42</v>
      </c>
      <c r="G23" s="6" t="s">
        <v>115</v>
      </c>
      <c r="H23" s="6" t="s">
        <v>116</v>
      </c>
      <c r="I23" s="6"/>
      <c r="J23" s="6"/>
      <c r="K23" s="6"/>
      <c r="L23" s="6"/>
      <c r="M23" s="6"/>
      <c r="N23" s="6"/>
      <c r="O23" s="6" t="s">
        <v>117</v>
      </c>
      <c r="P23" s="6"/>
      <c r="Q23" s="6" t="n">
        <v>9.9658</v>
      </c>
      <c r="R23" s="6" t="n">
        <v>76.2421</v>
      </c>
      <c r="S23" s="6"/>
      <c r="T23" s="6" t="n">
        <v>9.9658</v>
      </c>
      <c r="U23" s="6" t="n">
        <v>76.2421</v>
      </c>
      <c r="V23" s="6" t="s">
        <v>195</v>
      </c>
      <c r="W23" s="6"/>
    </row>
    <row r="24" customFormat="false" ht="35.05" hidden="false" customHeight="false" outlineLevel="0" collapsed="false">
      <c r="A24" s="6" t="s">
        <v>196</v>
      </c>
      <c r="B24" s="6" t="n">
        <v>2</v>
      </c>
      <c r="C24" s="6" t="n">
        <v>10</v>
      </c>
      <c r="D24" s="6" t="s">
        <v>197</v>
      </c>
      <c r="E24" s="6" t="s">
        <v>197</v>
      </c>
      <c r="F24" s="6" t="s">
        <v>198</v>
      </c>
      <c r="G24" s="6" t="s">
        <v>199</v>
      </c>
      <c r="H24" s="6" t="s">
        <v>200</v>
      </c>
      <c r="I24" s="6"/>
      <c r="J24" s="6"/>
      <c r="K24" s="6"/>
      <c r="L24" s="6"/>
      <c r="M24" s="6"/>
      <c r="N24" s="6"/>
      <c r="O24" s="6" t="s">
        <v>110</v>
      </c>
      <c r="P24" s="6"/>
      <c r="Q24" s="6" t="n">
        <v>10.1418</v>
      </c>
      <c r="R24" s="6" t="n">
        <v>76.178</v>
      </c>
      <c r="S24" s="6"/>
      <c r="T24" s="6" t="n">
        <v>10.1418</v>
      </c>
      <c r="U24" s="6" t="n">
        <v>76.178</v>
      </c>
      <c r="V24" s="6" t="s">
        <v>201</v>
      </c>
      <c r="W24" s="6"/>
    </row>
    <row r="25" customFormat="false" ht="23.85" hidden="false" customHeight="false" outlineLevel="0" collapsed="false">
      <c r="A25" s="8" t="s">
        <v>202</v>
      </c>
      <c r="B25" s="8" t="n">
        <v>3</v>
      </c>
      <c r="C25" s="8" t="n">
        <v>1</v>
      </c>
      <c r="D25" s="8" t="s">
        <v>203</v>
      </c>
      <c r="E25" s="8" t="s">
        <v>203</v>
      </c>
      <c r="F25" s="8" t="s">
        <v>204</v>
      </c>
      <c r="G25" s="8" t="s">
        <v>29</v>
      </c>
      <c r="H25" s="8" t="s">
        <v>30</v>
      </c>
      <c r="I25" s="8" t="s">
        <v>205</v>
      </c>
      <c r="J25" s="8"/>
      <c r="K25" s="8" t="s">
        <v>32</v>
      </c>
      <c r="L25" s="8" t="s">
        <v>206</v>
      </c>
      <c r="M25" s="8" t="s">
        <v>207</v>
      </c>
      <c r="N25" s="8" t="s">
        <v>101</v>
      </c>
      <c r="O25" s="8" t="s">
        <v>36</v>
      </c>
      <c r="P25" s="8"/>
      <c r="Q25" s="8" t="n">
        <v>10.0190964</v>
      </c>
      <c r="R25" s="8" t="n">
        <v>77.0628583</v>
      </c>
      <c r="S25" s="8" t="n">
        <v>300</v>
      </c>
      <c r="T25" s="8" t="n">
        <v>10.0889</v>
      </c>
      <c r="U25" s="8" t="n">
        <v>77.0595</v>
      </c>
      <c r="V25" s="8" t="s">
        <v>208</v>
      </c>
      <c r="W25" s="9" t="s">
        <v>209</v>
      </c>
    </row>
    <row r="26" customFormat="false" ht="46.25" hidden="false" customHeight="false" outlineLevel="0" collapsed="false">
      <c r="A26" s="8" t="s">
        <v>210</v>
      </c>
      <c r="B26" s="8" t="n">
        <v>3</v>
      </c>
      <c r="C26" s="8" t="n">
        <v>2</v>
      </c>
      <c r="D26" s="8" t="s">
        <v>211</v>
      </c>
      <c r="E26" s="8" t="s">
        <v>212</v>
      </c>
      <c r="F26" s="8" t="s">
        <v>213</v>
      </c>
      <c r="G26" s="8" t="s">
        <v>29</v>
      </c>
      <c r="H26" s="8" t="s">
        <v>30</v>
      </c>
      <c r="I26" s="8" t="s">
        <v>214</v>
      </c>
      <c r="J26" s="8" t="s">
        <v>215</v>
      </c>
      <c r="K26" s="8" t="s">
        <v>216</v>
      </c>
      <c r="L26" s="8" t="s">
        <v>217</v>
      </c>
      <c r="M26" s="8" t="s">
        <v>218</v>
      </c>
      <c r="N26" s="8" t="s">
        <v>219</v>
      </c>
      <c r="O26" s="8" t="s">
        <v>36</v>
      </c>
      <c r="P26" s="8"/>
      <c r="Q26" s="8" t="n">
        <v>9.72082</v>
      </c>
      <c r="R26" s="8" t="n">
        <v>76.97348</v>
      </c>
      <c r="S26" s="8" t="n">
        <v>300</v>
      </c>
      <c r="T26" s="8" t="n">
        <v>9.6862</v>
      </c>
      <c r="U26" s="8" t="n">
        <v>76.9058</v>
      </c>
      <c r="V26" s="8" t="s">
        <v>220</v>
      </c>
      <c r="W26" s="9" t="s">
        <v>221</v>
      </c>
    </row>
    <row r="27" customFormat="false" ht="23.85" hidden="false" customHeight="false" outlineLevel="0" collapsed="false">
      <c r="A27" s="8" t="s">
        <v>222</v>
      </c>
      <c r="B27" s="8" t="n">
        <v>3</v>
      </c>
      <c r="C27" s="8" t="n">
        <v>3</v>
      </c>
      <c r="D27" s="8" t="s">
        <v>223</v>
      </c>
      <c r="E27" s="8" t="s">
        <v>223</v>
      </c>
      <c r="F27" s="8" t="s">
        <v>213</v>
      </c>
      <c r="G27" s="8" t="s">
        <v>29</v>
      </c>
      <c r="H27" s="8" t="s">
        <v>30</v>
      </c>
      <c r="I27" s="8" t="s">
        <v>224</v>
      </c>
      <c r="J27" s="8"/>
      <c r="K27" s="8" t="s">
        <v>216</v>
      </c>
      <c r="L27" s="8" t="s">
        <v>225</v>
      </c>
      <c r="M27" s="8" t="s">
        <v>226</v>
      </c>
      <c r="N27" s="8" t="s">
        <v>101</v>
      </c>
      <c r="O27" s="8" t="s">
        <v>36</v>
      </c>
      <c r="P27" s="8"/>
      <c r="Q27" s="8" t="n">
        <v>9.73092</v>
      </c>
      <c r="R27" s="8" t="n">
        <v>76.98665</v>
      </c>
      <c r="S27" s="8" t="n">
        <v>300</v>
      </c>
      <c r="T27" s="8" t="n">
        <v>9.6862</v>
      </c>
      <c r="U27" s="8" t="n">
        <v>76.9058</v>
      </c>
      <c r="V27" s="8" t="s">
        <v>227</v>
      </c>
      <c r="W27" s="9" t="s">
        <v>228</v>
      </c>
    </row>
    <row r="28" customFormat="false" ht="35.05" hidden="false" customHeight="false" outlineLevel="0" collapsed="false">
      <c r="A28" s="8" t="s">
        <v>229</v>
      </c>
      <c r="B28" s="8" t="n">
        <v>3</v>
      </c>
      <c r="C28" s="8" t="n">
        <v>4</v>
      </c>
      <c r="D28" s="8" t="s">
        <v>230</v>
      </c>
      <c r="E28" s="8" t="s">
        <v>230</v>
      </c>
      <c r="F28" s="8" t="s">
        <v>231</v>
      </c>
      <c r="G28" s="8" t="s">
        <v>29</v>
      </c>
      <c r="H28" s="8" t="s">
        <v>30</v>
      </c>
      <c r="I28" s="8" t="s">
        <v>232</v>
      </c>
      <c r="J28" s="8"/>
      <c r="K28" s="8" t="s">
        <v>233</v>
      </c>
      <c r="L28" s="8" t="s">
        <v>234</v>
      </c>
      <c r="M28" s="8" t="s">
        <v>235</v>
      </c>
      <c r="N28" s="8" t="s">
        <v>101</v>
      </c>
      <c r="O28" s="8" t="s">
        <v>36</v>
      </c>
      <c r="P28" s="8"/>
      <c r="Q28" s="8" t="n">
        <v>11.523667</v>
      </c>
      <c r="R28" s="8" t="n">
        <v>75.638058</v>
      </c>
      <c r="S28" s="8" t="n">
        <v>300</v>
      </c>
      <c r="T28" s="8" t="n">
        <v>11.2588</v>
      </c>
      <c r="U28" s="8" t="n">
        <v>75.7804</v>
      </c>
      <c r="V28" s="8" t="s">
        <v>236</v>
      </c>
      <c r="W28" s="9" t="s">
        <v>237</v>
      </c>
    </row>
    <row r="29" customFormat="false" ht="35.05" hidden="false" customHeight="false" outlineLevel="0" collapsed="false">
      <c r="A29" s="8" t="s">
        <v>238</v>
      </c>
      <c r="B29" s="8" t="n">
        <v>3</v>
      </c>
      <c r="C29" s="8" t="n">
        <v>5</v>
      </c>
      <c r="D29" s="8" t="s">
        <v>239</v>
      </c>
      <c r="E29" s="8" t="s">
        <v>239</v>
      </c>
      <c r="F29" s="8" t="s">
        <v>240</v>
      </c>
      <c r="G29" s="8" t="s">
        <v>29</v>
      </c>
      <c r="H29" s="8" t="s">
        <v>30</v>
      </c>
      <c r="I29" s="8" t="s">
        <v>241</v>
      </c>
      <c r="J29" s="8" t="s">
        <v>242</v>
      </c>
      <c r="K29" s="8" t="s">
        <v>243</v>
      </c>
      <c r="L29" s="8" t="s">
        <v>244</v>
      </c>
      <c r="M29" s="8" t="s">
        <v>245</v>
      </c>
      <c r="N29" s="8" t="s">
        <v>101</v>
      </c>
      <c r="O29" s="8" t="s">
        <v>36</v>
      </c>
      <c r="P29" s="8"/>
      <c r="Q29" s="8" t="n">
        <v>10.43693</v>
      </c>
      <c r="R29" s="8" t="n">
        <v>76.14976</v>
      </c>
      <c r="S29" s="8" t="n">
        <v>300</v>
      </c>
      <c r="T29" s="8" t="n">
        <v>10.7905</v>
      </c>
      <c r="U29" s="8" t="n">
        <v>78.7047</v>
      </c>
      <c r="V29" s="8" t="s">
        <v>246</v>
      </c>
      <c r="W29" s="9" t="s">
        <v>247</v>
      </c>
    </row>
    <row r="30" customFormat="false" ht="46.25" hidden="false" customHeight="false" outlineLevel="0" collapsed="false">
      <c r="A30" s="8" t="s">
        <v>248</v>
      </c>
      <c r="B30" s="8" t="n">
        <v>3</v>
      </c>
      <c r="C30" s="8" t="n">
        <v>6</v>
      </c>
      <c r="D30" s="8" t="s">
        <v>249</v>
      </c>
      <c r="E30" s="8" t="s">
        <v>249</v>
      </c>
      <c r="F30" s="8" t="s">
        <v>250</v>
      </c>
      <c r="G30" s="8" t="s">
        <v>29</v>
      </c>
      <c r="H30" s="8" t="s">
        <v>30</v>
      </c>
      <c r="I30" s="8" t="s">
        <v>251</v>
      </c>
      <c r="J30" s="8"/>
      <c r="K30" s="8" t="s">
        <v>252</v>
      </c>
      <c r="L30" s="8" t="s">
        <v>253</v>
      </c>
      <c r="M30" s="8" t="s">
        <v>254</v>
      </c>
      <c r="N30" s="8" t="s">
        <v>255</v>
      </c>
      <c r="O30" s="8" t="s">
        <v>36</v>
      </c>
      <c r="P30" s="8" t="s">
        <v>256</v>
      </c>
      <c r="Q30" s="8" t="n">
        <v>10.560042</v>
      </c>
      <c r="R30" s="8" t="n">
        <v>76.829929</v>
      </c>
      <c r="S30" s="8" t="n">
        <v>300</v>
      </c>
      <c r="T30" s="8" t="n">
        <v>10.7867</v>
      </c>
      <c r="U30" s="8" t="n">
        <v>76.6548</v>
      </c>
      <c r="V30" s="8" t="s">
        <v>257</v>
      </c>
      <c r="W30" s="9" t="s">
        <v>258</v>
      </c>
    </row>
    <row r="31" customFormat="false" ht="23.85" hidden="false" customHeight="false" outlineLevel="0" collapsed="false">
      <c r="A31" s="8" t="s">
        <v>259</v>
      </c>
      <c r="B31" s="8" t="n">
        <v>3</v>
      </c>
      <c r="C31" s="8" t="n">
        <v>7</v>
      </c>
      <c r="D31" s="8" t="s">
        <v>260</v>
      </c>
      <c r="E31" s="8" t="s">
        <v>261</v>
      </c>
      <c r="F31" s="8" t="s">
        <v>53</v>
      </c>
      <c r="G31" s="8" t="s">
        <v>108</v>
      </c>
      <c r="H31" s="8" t="s">
        <v>109</v>
      </c>
      <c r="I31" s="8"/>
      <c r="J31" s="8"/>
      <c r="K31" s="8"/>
      <c r="L31" s="8"/>
      <c r="M31" s="8"/>
      <c r="N31" s="8"/>
      <c r="O31" s="8" t="s">
        <v>110</v>
      </c>
      <c r="P31" s="8"/>
      <c r="Q31" s="8" t="n">
        <v>9.6036</v>
      </c>
      <c r="R31" s="8" t="n">
        <v>77.1633</v>
      </c>
      <c r="S31" s="8"/>
      <c r="T31" s="8" t="n">
        <v>9.6036</v>
      </c>
      <c r="U31" s="8" t="n">
        <v>77.1633</v>
      </c>
      <c r="V31" s="8" t="s">
        <v>262</v>
      </c>
      <c r="W31" s="8"/>
    </row>
    <row r="32" customFormat="false" ht="23.85" hidden="false" customHeight="false" outlineLevel="0" collapsed="false">
      <c r="A32" s="8" t="s">
        <v>263</v>
      </c>
      <c r="B32" s="8" t="n">
        <v>3</v>
      </c>
      <c r="C32" s="8" t="n">
        <v>8</v>
      </c>
      <c r="D32" s="8" t="s">
        <v>264</v>
      </c>
      <c r="E32" s="8" t="s">
        <v>264</v>
      </c>
      <c r="F32" s="8" t="s">
        <v>265</v>
      </c>
      <c r="G32" s="8" t="s">
        <v>115</v>
      </c>
      <c r="H32" s="8" t="s">
        <v>116</v>
      </c>
      <c r="I32" s="8"/>
      <c r="J32" s="8"/>
      <c r="K32" s="8"/>
      <c r="L32" s="8"/>
      <c r="M32" s="8"/>
      <c r="N32" s="8"/>
      <c r="O32" s="8" t="s">
        <v>117</v>
      </c>
      <c r="P32" s="8"/>
      <c r="Q32" s="8" t="n">
        <v>8.5089</v>
      </c>
      <c r="R32" s="8" t="n">
        <v>76.9554</v>
      </c>
      <c r="S32" s="8"/>
      <c r="T32" s="8" t="n">
        <v>8.5089</v>
      </c>
      <c r="U32" s="8" t="n">
        <v>76.9554</v>
      </c>
      <c r="V32" s="8" t="s">
        <v>266</v>
      </c>
      <c r="W32" s="8"/>
    </row>
    <row r="33" customFormat="false" ht="23.85" hidden="false" customHeight="false" outlineLevel="0" collapsed="false">
      <c r="A33" s="8" t="s">
        <v>267</v>
      </c>
      <c r="B33" s="8" t="n">
        <v>3</v>
      </c>
      <c r="C33" s="8" t="n">
        <v>9</v>
      </c>
      <c r="D33" s="8" t="s">
        <v>268</v>
      </c>
      <c r="E33" s="8" t="s">
        <v>268</v>
      </c>
      <c r="F33" s="8" t="s">
        <v>269</v>
      </c>
      <c r="G33" s="8" t="s">
        <v>115</v>
      </c>
      <c r="H33" s="8" t="s">
        <v>121</v>
      </c>
      <c r="I33" s="8"/>
      <c r="J33" s="8"/>
      <c r="K33" s="8"/>
      <c r="L33" s="8"/>
      <c r="M33" s="8"/>
      <c r="N33" s="8"/>
      <c r="O33" s="8"/>
      <c r="P33" s="8"/>
      <c r="Q33" s="8" t="n">
        <v>11.8697</v>
      </c>
      <c r="R33" s="8" t="n">
        <v>75.3632</v>
      </c>
      <c r="S33" s="8"/>
      <c r="T33" s="8" t="n">
        <v>11.8697</v>
      </c>
      <c r="U33" s="8" t="n">
        <v>75.3632</v>
      </c>
      <c r="V33" s="8" t="s">
        <v>270</v>
      </c>
      <c r="W33" s="8"/>
    </row>
    <row r="34" customFormat="false" ht="23.85" hidden="false" customHeight="false" outlineLevel="0" collapsed="false">
      <c r="A34" s="8" t="s">
        <v>271</v>
      </c>
      <c r="B34" s="8" t="n">
        <v>3</v>
      </c>
      <c r="C34" s="8" t="n">
        <v>10</v>
      </c>
      <c r="D34" s="8" t="s">
        <v>272</v>
      </c>
      <c r="E34" s="8" t="s">
        <v>272</v>
      </c>
      <c r="F34" s="8" t="s">
        <v>107</v>
      </c>
      <c r="G34" s="8" t="s">
        <v>199</v>
      </c>
      <c r="H34" s="8" t="s">
        <v>200</v>
      </c>
      <c r="I34" s="8"/>
      <c r="J34" s="8"/>
      <c r="K34" s="8"/>
      <c r="L34" s="8"/>
      <c r="M34" s="8"/>
      <c r="N34" s="8"/>
      <c r="O34" s="8" t="s">
        <v>273</v>
      </c>
      <c r="P34" s="8"/>
      <c r="Q34" s="8" t="n">
        <v>9.6094</v>
      </c>
      <c r="R34" s="8" t="n">
        <v>76.435</v>
      </c>
      <c r="S34" s="8"/>
      <c r="T34" s="8" t="n">
        <v>9.6094</v>
      </c>
      <c r="U34" s="8" t="n">
        <v>76.435</v>
      </c>
      <c r="V34" s="8" t="s">
        <v>274</v>
      </c>
      <c r="W34" s="8"/>
    </row>
    <row r="35" customFormat="false" ht="23.85" hidden="false" customHeight="false" outlineLevel="0" collapsed="false">
      <c r="A35" s="10" t="s">
        <v>275</v>
      </c>
      <c r="B35" s="10" t="n">
        <v>4</v>
      </c>
      <c r="C35" s="10" t="n">
        <v>1</v>
      </c>
      <c r="D35" s="10" t="s">
        <v>276</v>
      </c>
      <c r="E35" s="10" t="s">
        <v>277</v>
      </c>
      <c r="F35" s="10" t="s">
        <v>269</v>
      </c>
      <c r="G35" s="10" t="s">
        <v>29</v>
      </c>
      <c r="H35" s="10" t="s">
        <v>30</v>
      </c>
      <c r="I35" s="10" t="s">
        <v>278</v>
      </c>
      <c r="J35" s="10"/>
      <c r="K35" s="10"/>
      <c r="L35" s="10" t="s">
        <v>279</v>
      </c>
      <c r="M35" s="10" t="s">
        <v>280</v>
      </c>
      <c r="N35" s="10" t="s">
        <v>101</v>
      </c>
      <c r="O35" s="10" t="s">
        <v>36</v>
      </c>
      <c r="P35" s="10"/>
      <c r="Q35" s="10" t="n">
        <v>11.850457</v>
      </c>
      <c r="R35" s="10" t="n">
        <v>75.493033</v>
      </c>
      <c r="S35" s="10" t="n">
        <v>400</v>
      </c>
      <c r="T35" s="10" t="n">
        <v>11.8745</v>
      </c>
      <c r="U35" s="10" t="n">
        <v>75.3704</v>
      </c>
      <c r="V35" s="10" t="s">
        <v>281</v>
      </c>
      <c r="W35" s="11" t="s">
        <v>282</v>
      </c>
    </row>
    <row r="36" customFormat="false" ht="23.85" hidden="false" customHeight="false" outlineLevel="0" collapsed="false">
      <c r="A36" s="10" t="s">
        <v>283</v>
      </c>
      <c r="B36" s="10" t="n">
        <v>4</v>
      </c>
      <c r="C36" s="10" t="n">
        <v>2</v>
      </c>
      <c r="D36" s="10" t="s">
        <v>284</v>
      </c>
      <c r="E36" s="10" t="s">
        <v>285</v>
      </c>
      <c r="F36" s="10" t="s">
        <v>286</v>
      </c>
      <c r="G36" s="10" t="s">
        <v>29</v>
      </c>
      <c r="H36" s="10" t="s">
        <v>30</v>
      </c>
      <c r="I36" s="10" t="s">
        <v>287</v>
      </c>
      <c r="J36" s="10"/>
      <c r="K36" s="10"/>
      <c r="L36" s="10" t="s">
        <v>288</v>
      </c>
      <c r="M36" s="10" t="s">
        <v>289</v>
      </c>
      <c r="N36" s="10" t="s">
        <v>101</v>
      </c>
      <c r="O36" s="10" t="s">
        <v>36</v>
      </c>
      <c r="P36" s="10"/>
      <c r="Q36" s="10" t="n">
        <v>12.058251</v>
      </c>
      <c r="R36" s="10" t="n">
        <v>75.400833</v>
      </c>
      <c r="S36" s="10" t="n">
        <v>400</v>
      </c>
      <c r="T36" s="10" t="n">
        <v>11.8745</v>
      </c>
      <c r="U36" s="10" t="n">
        <v>75.3704</v>
      </c>
      <c r="V36" s="10" t="s">
        <v>290</v>
      </c>
      <c r="W36" s="11" t="s">
        <v>291</v>
      </c>
    </row>
    <row r="37" customFormat="false" ht="46.25" hidden="false" customHeight="false" outlineLevel="0" collapsed="false">
      <c r="A37" s="10" t="s">
        <v>292</v>
      </c>
      <c r="B37" s="10" t="n">
        <v>4</v>
      </c>
      <c r="C37" s="10" t="n">
        <v>3</v>
      </c>
      <c r="D37" s="10" t="s">
        <v>293</v>
      </c>
      <c r="E37" s="10" t="s">
        <v>294</v>
      </c>
      <c r="F37" s="10" t="s">
        <v>269</v>
      </c>
      <c r="G37" s="10" t="s">
        <v>29</v>
      </c>
      <c r="H37" s="10" t="s">
        <v>30</v>
      </c>
      <c r="I37" s="10" t="s">
        <v>295</v>
      </c>
      <c r="J37" s="10" t="s">
        <v>296</v>
      </c>
      <c r="K37" s="10" t="s">
        <v>297</v>
      </c>
      <c r="L37" s="10" t="s">
        <v>298</v>
      </c>
      <c r="M37" s="10" t="s">
        <v>299</v>
      </c>
      <c r="N37" s="10" t="s">
        <v>101</v>
      </c>
      <c r="O37" s="10" t="s">
        <v>300</v>
      </c>
      <c r="P37" s="10" t="s">
        <v>256</v>
      </c>
      <c r="Q37" s="10" t="n">
        <v>11.873109</v>
      </c>
      <c r="R37" s="10" t="n">
        <v>75.391356</v>
      </c>
      <c r="S37" s="10" t="n">
        <v>250</v>
      </c>
      <c r="T37" s="10" t="n">
        <v>11.8745</v>
      </c>
      <c r="U37" s="10" t="n">
        <v>75.3704</v>
      </c>
      <c r="V37" s="10" t="s">
        <v>301</v>
      </c>
      <c r="W37" s="11" t="s">
        <v>302</v>
      </c>
    </row>
    <row r="38" customFormat="false" ht="23.85" hidden="false" customHeight="false" outlineLevel="0" collapsed="false">
      <c r="A38" s="10" t="s">
        <v>303</v>
      </c>
      <c r="B38" s="10" t="n">
        <v>4</v>
      </c>
      <c r="C38" s="10" t="n">
        <v>4</v>
      </c>
      <c r="D38" s="10" t="s">
        <v>304</v>
      </c>
      <c r="E38" s="10" t="s">
        <v>304</v>
      </c>
      <c r="F38" s="10" t="s">
        <v>305</v>
      </c>
      <c r="G38" s="10" t="s">
        <v>29</v>
      </c>
      <c r="H38" s="10" t="s">
        <v>30</v>
      </c>
      <c r="I38" s="10" t="s">
        <v>306</v>
      </c>
      <c r="J38" s="10"/>
      <c r="K38" s="10" t="s">
        <v>307</v>
      </c>
      <c r="L38" s="10" t="s">
        <v>308</v>
      </c>
      <c r="M38" s="10" t="s">
        <v>309</v>
      </c>
      <c r="N38" s="10" t="s">
        <v>101</v>
      </c>
      <c r="O38" s="10" t="s">
        <v>36</v>
      </c>
      <c r="P38" s="10"/>
      <c r="Q38" s="10" t="n">
        <v>10.291252</v>
      </c>
      <c r="R38" s="10" t="n">
        <v>76.506007</v>
      </c>
      <c r="S38" s="10" t="n">
        <v>300</v>
      </c>
      <c r="T38" s="10" t="n">
        <v>10.285</v>
      </c>
      <c r="U38" s="10" t="n">
        <v>76.5694</v>
      </c>
      <c r="V38" s="10" t="s">
        <v>310</v>
      </c>
      <c r="W38" s="11" t="s">
        <v>311</v>
      </c>
    </row>
    <row r="39" customFormat="false" ht="35.05" hidden="false" customHeight="false" outlineLevel="0" collapsed="false">
      <c r="A39" s="10" t="s">
        <v>312</v>
      </c>
      <c r="B39" s="10" t="n">
        <v>4</v>
      </c>
      <c r="C39" s="10" t="n">
        <v>5</v>
      </c>
      <c r="D39" s="10" t="s">
        <v>313</v>
      </c>
      <c r="E39" s="10" t="s">
        <v>314</v>
      </c>
      <c r="F39" s="10" t="s">
        <v>315</v>
      </c>
      <c r="G39" s="10" t="s">
        <v>29</v>
      </c>
      <c r="H39" s="10" t="s">
        <v>30</v>
      </c>
      <c r="I39" s="10"/>
      <c r="J39" s="10"/>
      <c r="K39" s="10"/>
      <c r="L39" s="10" t="s">
        <v>316</v>
      </c>
      <c r="M39" s="10" t="s">
        <v>317</v>
      </c>
      <c r="N39" s="10" t="s">
        <v>101</v>
      </c>
      <c r="O39" s="10" t="s">
        <v>318</v>
      </c>
      <c r="P39" s="10"/>
      <c r="Q39" s="10" t="n">
        <v>10.323819</v>
      </c>
      <c r="R39" s="10" t="n">
        <v>76.394271</v>
      </c>
      <c r="S39" s="10" t="n">
        <v>500</v>
      </c>
      <c r="T39" s="10" t="n">
        <v>10.285</v>
      </c>
      <c r="U39" s="10" t="n">
        <v>76.5694</v>
      </c>
      <c r="V39" s="10" t="s">
        <v>319</v>
      </c>
      <c r="W39" s="11" t="s">
        <v>320</v>
      </c>
    </row>
    <row r="40" customFormat="false" ht="23.85" hidden="false" customHeight="false" outlineLevel="0" collapsed="false">
      <c r="A40" s="10" t="s">
        <v>321</v>
      </c>
      <c r="B40" s="10" t="n">
        <v>4</v>
      </c>
      <c r="C40" s="10" t="n">
        <v>6</v>
      </c>
      <c r="D40" s="10" t="s">
        <v>322</v>
      </c>
      <c r="E40" s="10" t="s">
        <v>323</v>
      </c>
      <c r="F40" s="10" t="s">
        <v>324</v>
      </c>
      <c r="G40" s="10" t="s">
        <v>108</v>
      </c>
      <c r="H40" s="10" t="s">
        <v>109</v>
      </c>
      <c r="I40" s="10"/>
      <c r="J40" s="10"/>
      <c r="K40" s="10"/>
      <c r="L40" s="10"/>
      <c r="M40" s="10"/>
      <c r="N40" s="10"/>
      <c r="O40" s="10" t="s">
        <v>190</v>
      </c>
      <c r="P40" s="10"/>
      <c r="Q40" s="10" t="n">
        <v>18.9217</v>
      </c>
      <c r="R40" s="10" t="n">
        <v>72.8332</v>
      </c>
      <c r="S40" s="10"/>
      <c r="T40" s="10" t="n">
        <v>18.9217</v>
      </c>
      <c r="U40" s="10" t="n">
        <v>72.8332</v>
      </c>
      <c r="V40" s="10" t="s">
        <v>325</v>
      </c>
      <c r="W40" s="10"/>
    </row>
    <row r="41" customFormat="false" ht="23.85" hidden="false" customHeight="false" outlineLevel="0" collapsed="false">
      <c r="A41" s="10" t="s">
        <v>326</v>
      </c>
      <c r="B41" s="10" t="n">
        <v>4</v>
      </c>
      <c r="C41" s="10" t="n">
        <v>7</v>
      </c>
      <c r="D41" s="10" t="s">
        <v>327</v>
      </c>
      <c r="E41" s="10" t="s">
        <v>328</v>
      </c>
      <c r="F41" s="10" t="s">
        <v>324</v>
      </c>
      <c r="G41" s="10" t="s">
        <v>115</v>
      </c>
      <c r="H41" s="10" t="s">
        <v>116</v>
      </c>
      <c r="I41" s="10"/>
      <c r="J41" s="10"/>
      <c r="K41" s="10"/>
      <c r="L41" s="10"/>
      <c r="M41" s="10"/>
      <c r="N41" s="10"/>
      <c r="O41" s="10" t="s">
        <v>117</v>
      </c>
      <c r="P41" s="10"/>
      <c r="Q41" s="10" t="n">
        <v>18.9227</v>
      </c>
      <c r="R41" s="10" t="n">
        <v>72.8317</v>
      </c>
      <c r="S41" s="10"/>
      <c r="T41" s="10" t="n">
        <v>18.9227</v>
      </c>
      <c r="U41" s="10" t="n">
        <v>72.8317</v>
      </c>
      <c r="V41" s="10" t="s">
        <v>329</v>
      </c>
      <c r="W41" s="10"/>
    </row>
    <row r="42" customFormat="false" ht="23.85" hidden="false" customHeight="false" outlineLevel="0" collapsed="false">
      <c r="A42" s="10" t="s">
        <v>330</v>
      </c>
      <c r="B42" s="10" t="n">
        <v>4</v>
      </c>
      <c r="C42" s="10" t="n">
        <v>8</v>
      </c>
      <c r="D42" s="10" t="s">
        <v>331</v>
      </c>
      <c r="E42" s="10" t="s">
        <v>331</v>
      </c>
      <c r="F42" s="10" t="s">
        <v>65</v>
      </c>
      <c r="G42" s="10" t="s">
        <v>115</v>
      </c>
      <c r="H42" s="10" t="s">
        <v>121</v>
      </c>
      <c r="I42" s="10"/>
      <c r="J42" s="10"/>
      <c r="K42" s="10"/>
      <c r="L42" s="10"/>
      <c r="M42" s="10"/>
      <c r="N42" s="10"/>
      <c r="O42" s="10"/>
      <c r="P42" s="10"/>
      <c r="Q42" s="10" t="n">
        <v>8.7379</v>
      </c>
      <c r="R42" s="10" t="n">
        <v>76.7163</v>
      </c>
      <c r="S42" s="10"/>
      <c r="T42" s="10" t="n">
        <v>8.7379</v>
      </c>
      <c r="U42" s="10" t="n">
        <v>76.7163</v>
      </c>
      <c r="V42" s="10" t="s">
        <v>332</v>
      </c>
      <c r="W42" s="10"/>
    </row>
    <row r="43" customFormat="false" ht="23.85" hidden="false" customHeight="false" outlineLevel="0" collapsed="false">
      <c r="A43" s="10" t="s">
        <v>333</v>
      </c>
      <c r="B43" s="10" t="n">
        <v>4</v>
      </c>
      <c r="C43" s="10" t="n">
        <v>9</v>
      </c>
      <c r="D43" s="10" t="s">
        <v>334</v>
      </c>
      <c r="E43" s="10" t="s">
        <v>334</v>
      </c>
      <c r="F43" s="10" t="s">
        <v>335</v>
      </c>
      <c r="G43" s="10" t="s">
        <v>199</v>
      </c>
      <c r="H43" s="10" t="s">
        <v>336</v>
      </c>
      <c r="I43" s="10"/>
      <c r="J43" s="10"/>
      <c r="K43" s="10"/>
      <c r="L43" s="10"/>
      <c r="M43" s="10"/>
      <c r="N43" s="10"/>
      <c r="O43" s="10" t="s">
        <v>110</v>
      </c>
      <c r="P43" s="10"/>
      <c r="Q43" s="10" t="n">
        <v>8.76</v>
      </c>
      <c r="R43" s="10" t="n">
        <v>77.116</v>
      </c>
      <c r="S43" s="10"/>
      <c r="T43" s="10" t="n">
        <v>8.76</v>
      </c>
      <c r="U43" s="10" t="n">
        <v>77.116</v>
      </c>
      <c r="V43" s="10" t="s">
        <v>337</v>
      </c>
      <c r="W43" s="10"/>
    </row>
    <row r="44" customFormat="false" ht="23.85" hidden="false" customHeight="false" outlineLevel="0" collapsed="false">
      <c r="A44" s="10" t="s">
        <v>338</v>
      </c>
      <c r="B44" s="10" t="n">
        <v>4</v>
      </c>
      <c r="C44" s="10" t="n">
        <v>10</v>
      </c>
      <c r="D44" s="10" t="s">
        <v>339</v>
      </c>
      <c r="E44" s="10" t="s">
        <v>339</v>
      </c>
      <c r="F44" s="10" t="s">
        <v>340</v>
      </c>
      <c r="G44" s="10" t="s">
        <v>199</v>
      </c>
      <c r="H44" s="10" t="s">
        <v>341</v>
      </c>
      <c r="I44" s="10"/>
      <c r="J44" s="10"/>
      <c r="K44" s="10"/>
      <c r="L44" s="10"/>
      <c r="M44" s="10"/>
      <c r="N44" s="10"/>
      <c r="O44" s="10" t="s">
        <v>273</v>
      </c>
      <c r="P44" s="10"/>
      <c r="Q44" s="10" t="n">
        <v>11.542</v>
      </c>
      <c r="R44" s="10" t="n">
        <v>76.027</v>
      </c>
      <c r="S44" s="10"/>
      <c r="T44" s="10" t="n">
        <v>11.542</v>
      </c>
      <c r="U44" s="10" t="n">
        <v>76.027</v>
      </c>
      <c r="V44" s="10" t="s">
        <v>342</v>
      </c>
      <c r="W44" s="10"/>
    </row>
    <row r="45" customFormat="false" ht="23.85" hidden="false" customHeight="false" outlineLevel="0" collapsed="false">
      <c r="A45" s="12" t="s">
        <v>343</v>
      </c>
      <c r="B45" s="12" t="n">
        <v>5</v>
      </c>
      <c r="C45" s="12" t="n">
        <v>1</v>
      </c>
      <c r="D45" s="12" t="s">
        <v>344</v>
      </c>
      <c r="E45" s="12" t="s">
        <v>345</v>
      </c>
      <c r="F45" s="12" t="s">
        <v>28</v>
      </c>
      <c r="G45" s="12" t="s">
        <v>29</v>
      </c>
      <c r="H45" s="12" t="s">
        <v>30</v>
      </c>
      <c r="I45" s="12" t="s">
        <v>346</v>
      </c>
      <c r="J45" s="12"/>
      <c r="K45" s="12" t="s">
        <v>136</v>
      </c>
      <c r="L45" s="12" t="s">
        <v>347</v>
      </c>
      <c r="M45" s="12" t="s">
        <v>348</v>
      </c>
      <c r="N45" s="12" t="s">
        <v>101</v>
      </c>
      <c r="O45" s="12" t="s">
        <v>36</v>
      </c>
      <c r="P45" s="12"/>
      <c r="Q45" s="12" t="n">
        <v>10.0132323</v>
      </c>
      <c r="R45" s="12" t="n">
        <v>77.0004625</v>
      </c>
      <c r="S45" s="12" t="n">
        <v>400</v>
      </c>
      <c r="T45" s="12" t="n">
        <v>10.0889</v>
      </c>
      <c r="U45" s="12" t="n">
        <v>77.0595</v>
      </c>
      <c r="V45" s="12" t="s">
        <v>349</v>
      </c>
      <c r="W45" s="13" t="s">
        <v>350</v>
      </c>
    </row>
    <row r="46" customFormat="false" ht="35.05" hidden="false" customHeight="false" outlineLevel="0" collapsed="false">
      <c r="A46" s="12" t="s">
        <v>351</v>
      </c>
      <c r="B46" s="12" t="n">
        <v>5</v>
      </c>
      <c r="C46" s="12" t="n">
        <v>2</v>
      </c>
      <c r="D46" s="12" t="s">
        <v>352</v>
      </c>
      <c r="E46" s="12" t="s">
        <v>353</v>
      </c>
      <c r="F46" s="12" t="s">
        <v>354</v>
      </c>
      <c r="G46" s="12" t="s">
        <v>29</v>
      </c>
      <c r="H46" s="12" t="s">
        <v>30</v>
      </c>
      <c r="I46" s="12" t="s">
        <v>355</v>
      </c>
      <c r="J46" s="12"/>
      <c r="K46" s="12"/>
      <c r="L46" s="12" t="s">
        <v>356</v>
      </c>
      <c r="M46" s="12" t="s">
        <v>357</v>
      </c>
      <c r="N46" s="12" t="s">
        <v>101</v>
      </c>
      <c r="O46" s="12" t="s">
        <v>36</v>
      </c>
      <c r="P46" s="12"/>
      <c r="Q46" s="12" t="n">
        <v>9.583868</v>
      </c>
      <c r="R46" s="12" t="n">
        <v>76.321064</v>
      </c>
      <c r="S46" s="12" t="n">
        <v>400</v>
      </c>
      <c r="T46" s="12" t="n">
        <v>9.4981</v>
      </c>
      <c r="U46" s="12" t="n">
        <v>76.3388</v>
      </c>
      <c r="V46" s="12" t="s">
        <v>358</v>
      </c>
      <c r="W46" s="13" t="s">
        <v>359</v>
      </c>
    </row>
    <row r="47" customFormat="false" ht="23.85" hidden="false" customHeight="false" outlineLevel="0" collapsed="false">
      <c r="A47" s="12" t="s">
        <v>360</v>
      </c>
      <c r="B47" s="12" t="n">
        <v>5</v>
      </c>
      <c r="C47" s="12" t="n">
        <v>3</v>
      </c>
      <c r="D47" s="12" t="s">
        <v>361</v>
      </c>
      <c r="E47" s="12" t="s">
        <v>362</v>
      </c>
      <c r="F47" s="12" t="s">
        <v>179</v>
      </c>
      <c r="G47" s="12" t="s">
        <v>29</v>
      </c>
      <c r="H47" s="12" t="s">
        <v>30</v>
      </c>
      <c r="I47" s="12"/>
      <c r="J47" s="12"/>
      <c r="K47" s="12"/>
      <c r="L47" s="12" t="s">
        <v>363</v>
      </c>
      <c r="M47" s="12" t="s">
        <v>364</v>
      </c>
      <c r="N47" s="12" t="s">
        <v>101</v>
      </c>
      <c r="O47" s="12" t="s">
        <v>36</v>
      </c>
      <c r="P47" s="12"/>
      <c r="Q47" s="12" t="n">
        <v>8.998114</v>
      </c>
      <c r="R47" s="12" t="n">
        <v>76.619579</v>
      </c>
      <c r="S47" s="12" t="n">
        <v>400</v>
      </c>
      <c r="T47" s="12" t="n">
        <v>8.8932</v>
      </c>
      <c r="U47" s="12" t="n">
        <v>76.6141</v>
      </c>
      <c r="V47" s="12" t="s">
        <v>365</v>
      </c>
      <c r="W47" s="13" t="s">
        <v>366</v>
      </c>
    </row>
    <row r="48" customFormat="false" ht="35.05" hidden="false" customHeight="false" outlineLevel="0" collapsed="false">
      <c r="A48" s="12" t="s">
        <v>367</v>
      </c>
      <c r="B48" s="12" t="n">
        <v>5</v>
      </c>
      <c r="C48" s="12" t="n">
        <v>4</v>
      </c>
      <c r="D48" s="12" t="s">
        <v>368</v>
      </c>
      <c r="E48" s="12" t="s">
        <v>369</v>
      </c>
      <c r="F48" s="12" t="s">
        <v>96</v>
      </c>
      <c r="G48" s="12" t="s">
        <v>29</v>
      </c>
      <c r="H48" s="12" t="s">
        <v>30</v>
      </c>
      <c r="I48" s="12" t="s">
        <v>370</v>
      </c>
      <c r="J48" s="12" t="s">
        <v>371</v>
      </c>
      <c r="K48" s="12" t="s">
        <v>98</v>
      </c>
      <c r="L48" s="12" t="s">
        <v>372</v>
      </c>
      <c r="M48" s="12" t="s">
        <v>373</v>
      </c>
      <c r="N48" s="12" t="s">
        <v>101</v>
      </c>
      <c r="O48" s="12" t="s">
        <v>300</v>
      </c>
      <c r="P48" s="12"/>
      <c r="Q48" s="12" t="n">
        <v>8.403506</v>
      </c>
      <c r="R48" s="12" t="n">
        <v>76.975703</v>
      </c>
      <c r="S48" s="12" t="n">
        <v>250</v>
      </c>
      <c r="T48" s="12" t="n">
        <v>12.79</v>
      </c>
      <c r="U48" s="12" t="n">
        <v>80.254</v>
      </c>
      <c r="V48" s="12" t="s">
        <v>374</v>
      </c>
      <c r="W48" s="13" t="s">
        <v>375</v>
      </c>
    </row>
    <row r="49" customFormat="false" ht="23.85" hidden="false" customHeight="false" outlineLevel="0" collapsed="false">
      <c r="A49" s="12" t="s">
        <v>376</v>
      </c>
      <c r="B49" s="12" t="n">
        <v>5</v>
      </c>
      <c r="C49" s="12" t="n">
        <v>5</v>
      </c>
      <c r="D49" s="12" t="s">
        <v>377</v>
      </c>
      <c r="E49" s="12" t="s">
        <v>377</v>
      </c>
      <c r="F49" s="12" t="s">
        <v>378</v>
      </c>
      <c r="G49" s="12" t="s">
        <v>29</v>
      </c>
      <c r="H49" s="12" t="s">
        <v>30</v>
      </c>
      <c r="I49" s="12"/>
      <c r="J49" s="12"/>
      <c r="K49" s="12"/>
      <c r="L49" s="12" t="s">
        <v>379</v>
      </c>
      <c r="M49" s="12" t="s">
        <v>380</v>
      </c>
      <c r="N49" s="12" t="s">
        <v>101</v>
      </c>
      <c r="O49" s="12" t="s">
        <v>36</v>
      </c>
      <c r="P49" s="12"/>
      <c r="Q49" s="12" t="n">
        <v>11.2289491</v>
      </c>
      <c r="R49" s="12" t="n">
        <v>75.7943301</v>
      </c>
      <c r="S49" s="12" t="n">
        <v>400</v>
      </c>
      <c r="T49" s="12" t="n">
        <v>11.2588</v>
      </c>
      <c r="U49" s="12" t="n">
        <v>75.7804</v>
      </c>
      <c r="V49" s="12" t="s">
        <v>381</v>
      </c>
      <c r="W49" s="13" t="s">
        <v>382</v>
      </c>
    </row>
    <row r="50" customFormat="false" ht="23.85" hidden="false" customHeight="false" outlineLevel="0" collapsed="false">
      <c r="A50" s="12" t="s">
        <v>383</v>
      </c>
      <c r="B50" s="12" t="n">
        <v>5</v>
      </c>
      <c r="C50" s="12" t="n">
        <v>6</v>
      </c>
      <c r="D50" s="12" t="s">
        <v>384</v>
      </c>
      <c r="E50" s="12" t="s">
        <v>385</v>
      </c>
      <c r="F50" s="12" t="s">
        <v>386</v>
      </c>
      <c r="G50" s="12" t="s">
        <v>108</v>
      </c>
      <c r="H50" s="12" t="s">
        <v>109</v>
      </c>
      <c r="I50" s="12"/>
      <c r="J50" s="12"/>
      <c r="K50" s="12"/>
      <c r="L50" s="12"/>
      <c r="M50" s="12"/>
      <c r="N50" s="12"/>
      <c r="O50" s="12" t="s">
        <v>190</v>
      </c>
      <c r="P50" s="12"/>
      <c r="Q50" s="12" t="n">
        <v>1.2834</v>
      </c>
      <c r="R50" s="12" t="n">
        <v>103.8607</v>
      </c>
      <c r="S50" s="12"/>
      <c r="T50" s="12" t="n">
        <v>1.2834</v>
      </c>
      <c r="U50" s="12" t="n">
        <v>103.8607</v>
      </c>
      <c r="V50" s="12" t="s">
        <v>387</v>
      </c>
      <c r="W50" s="12"/>
    </row>
    <row r="51" customFormat="false" ht="23.85" hidden="false" customHeight="false" outlineLevel="0" collapsed="false">
      <c r="A51" s="12" t="s">
        <v>388</v>
      </c>
      <c r="B51" s="12" t="n">
        <v>5</v>
      </c>
      <c r="C51" s="12" t="n">
        <v>7</v>
      </c>
      <c r="D51" s="12" t="s">
        <v>389</v>
      </c>
      <c r="E51" s="12" t="s">
        <v>390</v>
      </c>
      <c r="F51" s="12" t="s">
        <v>42</v>
      </c>
      <c r="G51" s="12" t="s">
        <v>115</v>
      </c>
      <c r="H51" s="12" t="s">
        <v>116</v>
      </c>
      <c r="I51" s="12"/>
      <c r="J51" s="12"/>
      <c r="K51" s="12"/>
      <c r="L51" s="12"/>
      <c r="M51" s="12"/>
      <c r="N51" s="12"/>
      <c r="O51" s="12" t="s">
        <v>117</v>
      </c>
      <c r="P51" s="12"/>
      <c r="Q51" s="12" t="n">
        <v>10.0225</v>
      </c>
      <c r="R51" s="12" t="n">
        <v>76.4055</v>
      </c>
      <c r="S51" s="12"/>
      <c r="T51" s="12" t="n">
        <v>10.0225</v>
      </c>
      <c r="U51" s="12" t="n">
        <v>76.4055</v>
      </c>
      <c r="V51" s="12" t="s">
        <v>391</v>
      </c>
      <c r="W51" s="12"/>
    </row>
    <row r="52" customFormat="false" ht="23.85" hidden="false" customHeight="false" outlineLevel="0" collapsed="false">
      <c r="A52" s="12" t="s">
        <v>392</v>
      </c>
      <c r="B52" s="12" t="n">
        <v>5</v>
      </c>
      <c r="C52" s="12" t="n">
        <v>8</v>
      </c>
      <c r="D52" s="12" t="s">
        <v>393</v>
      </c>
      <c r="E52" s="12" t="s">
        <v>393</v>
      </c>
      <c r="F52" s="12" t="s">
        <v>42</v>
      </c>
      <c r="G52" s="12" t="s">
        <v>115</v>
      </c>
      <c r="H52" s="12" t="s">
        <v>121</v>
      </c>
      <c r="I52" s="12"/>
      <c r="J52" s="12"/>
      <c r="K52" s="12"/>
      <c r="L52" s="12"/>
      <c r="M52" s="12"/>
      <c r="N52" s="12"/>
      <c r="O52" s="12"/>
      <c r="P52" s="12"/>
      <c r="Q52" s="12" t="n">
        <v>9.966</v>
      </c>
      <c r="R52" s="12" t="n">
        <v>76.2425</v>
      </c>
      <c r="S52" s="12"/>
      <c r="T52" s="12" t="n">
        <v>9.966</v>
      </c>
      <c r="U52" s="12" t="n">
        <v>76.2425</v>
      </c>
      <c r="V52" s="12" t="s">
        <v>394</v>
      </c>
      <c r="W52" s="12"/>
    </row>
    <row r="53" customFormat="false" ht="23.85" hidden="false" customHeight="false" outlineLevel="0" collapsed="false">
      <c r="A53" s="12" t="s">
        <v>395</v>
      </c>
      <c r="B53" s="12" t="n">
        <v>5</v>
      </c>
      <c r="C53" s="12" t="n">
        <v>9</v>
      </c>
      <c r="D53" s="12" t="s">
        <v>396</v>
      </c>
      <c r="E53" s="12" t="s">
        <v>396</v>
      </c>
      <c r="F53" s="12" t="s">
        <v>378</v>
      </c>
      <c r="G53" s="12" t="s">
        <v>115</v>
      </c>
      <c r="H53" s="12" t="s">
        <v>121</v>
      </c>
      <c r="I53" s="12"/>
      <c r="J53" s="12"/>
      <c r="K53" s="12"/>
      <c r="L53" s="12"/>
      <c r="M53" s="12"/>
      <c r="N53" s="12"/>
      <c r="O53" s="12"/>
      <c r="P53" s="12"/>
      <c r="Q53" s="12" t="n">
        <v>11.256</v>
      </c>
      <c r="R53" s="12" t="n">
        <v>75.77</v>
      </c>
      <c r="S53" s="12"/>
      <c r="T53" s="12" t="n">
        <v>11.256</v>
      </c>
      <c r="U53" s="12" t="n">
        <v>75.77</v>
      </c>
      <c r="V53" s="12" t="s">
        <v>397</v>
      </c>
      <c r="W53" s="12"/>
    </row>
    <row r="54" customFormat="false" ht="23.85" hidden="false" customHeight="false" outlineLevel="0" collapsed="false">
      <c r="A54" s="12" t="s">
        <v>398</v>
      </c>
      <c r="B54" s="12" t="n">
        <v>5</v>
      </c>
      <c r="C54" s="12" t="n">
        <v>10</v>
      </c>
      <c r="D54" s="12" t="s">
        <v>399</v>
      </c>
      <c r="E54" s="12" t="s">
        <v>399</v>
      </c>
      <c r="F54" s="12" t="s">
        <v>96</v>
      </c>
      <c r="G54" s="12" t="s">
        <v>199</v>
      </c>
      <c r="H54" s="12" t="s">
        <v>200</v>
      </c>
      <c r="I54" s="12"/>
      <c r="J54" s="12"/>
      <c r="K54" s="12"/>
      <c r="L54" s="12"/>
      <c r="M54" s="12"/>
      <c r="N54" s="12"/>
      <c r="O54" s="12" t="s">
        <v>110</v>
      </c>
      <c r="P54" s="12"/>
      <c r="Q54" s="12" t="n">
        <v>8.3832</v>
      </c>
      <c r="R54" s="12" t="n">
        <v>76.979</v>
      </c>
      <c r="S54" s="12"/>
      <c r="T54" s="12" t="n">
        <v>8.3832</v>
      </c>
      <c r="U54" s="12" t="n">
        <v>76.979</v>
      </c>
      <c r="V54" s="12" t="s">
        <v>400</v>
      </c>
      <c r="W54" s="12"/>
    </row>
  </sheetData>
  <autoFilter ref="A4:W54"/>
  <hyperlinks>
    <hyperlink ref="W5" r:id="rId1" display="https://www.keralatourism.org/homestays/snow-moon-homestay/4038"/>
    <hyperlink ref="W6" r:id="rId2" display="https://www.keralatourism.org/homestays/green-horizon-homestay/8482"/>
    <hyperlink ref="W7" r:id="rId3" display="https://www.keralatourism.org/homestays/kerala-spices-homestay/8592"/>
    <hyperlink ref="W8" r:id="rId4" display="https://www.keralatourism.org/homestays/bougainvillea-homestay/7044"/>
    <hyperlink ref="W9" r:id="rId5" display="https://www.keralatourism.org/homestays/ananda-homestay/6508"/>
    <hyperlink ref="W10" r:id="rId6" display="https://www.keralatourism.org/homestays/royal-mist/3831"/>
    <hyperlink ref="W11" r:id="rId7" display="https://www.keralatourism.org/homestays/thayil-kadaloram-homestay/6232"/>
    <hyperlink ref="W15" r:id="rId8" display="https://www.keralatourism.org/homestays/the-haven-munnar/4071"/>
    <hyperlink ref="W16" r:id="rId9" display="https://www.keralatourism.org/homestays/linn-view-home-stay-munnar/6228"/>
    <hyperlink ref="W17" r:id="rId10" display="https://www.keralatourism.org/homestays/hill-mist/6835"/>
    <hyperlink ref="W18" r:id="rId11" display="https://www.keralatourism.org/homestays/angel-homestay/6758"/>
    <hyperlink ref="W19" r:id="rId12" display="https://www.keralatourism.org/homestays/paddy-n-canal-homestay/6764"/>
    <hyperlink ref="W20" r:id="rId13" display="https://www.keralatourism.org/homestays/illusion-homestay/7271"/>
    <hyperlink ref="W21" r:id="rId14" display="https://www.keralatourism.org/homestays/blue-lagoon-mundro-homestay/8967"/>
    <hyperlink ref="W25" r:id="rId15" display="https://www.keralatourism.org/homestays/signature-homestay/6378"/>
    <hyperlink ref="W26" r:id="rId16" display="https://www.keralatourism.org/homestays/greenshore/7757"/>
    <hyperlink ref="W27" r:id="rId17" display="https://www.keralatourism.org/homestays/mangal-caverns-homestay/6752"/>
    <hyperlink ref="W28" r:id="rId18" display="https://www.keralatourism.org/homestays/kalariyullathil-homestay/6659"/>
    <hyperlink ref="W29" r:id="rId19" display="https://www.keralatourism.org/homestays/dakshin-ayodhya-homestay/7229"/>
    <hyperlink ref="W30" r:id="rId20" display="https://www.keralatourism.org/homestays/pannadikadu-homestay/7301"/>
    <hyperlink ref="W35" r:id="rId21" display="https://www.keralatourism.org/homestays/kachiprath-homestay/8427"/>
    <hyperlink ref="W36" r:id="rId22" display="https://www.keralatourism.org/homestays/happy-valley-home-stay/8789"/>
    <hyperlink ref="W37" r:id="rId23" display="https://www.keralatourism.org/homestays/meadows-kannurs-serene-retreat-homestay/6952"/>
    <hyperlink ref="W38" r:id="rId24" display="https://www.keralatourism.org/homestays/spice-garden-residency/6363"/>
    <hyperlink ref="W39" r:id="rId25" display="https://www.keralatourism.org/homestays/aathira-agri-homes/7136"/>
    <hyperlink ref="W45" r:id="rId26" display="https://www.keralatourism.org/homestays/maliyeckal-homestay/5960"/>
    <hyperlink ref="W46" r:id="rId27" display="https://www.keralatourism.org/homestays/evara-residency-homestay/7555"/>
    <hyperlink ref="W47" r:id="rId28" display="https://www.keralatourism.org/homestays/nickies-nest-homestay/8246"/>
    <hyperlink ref="W48" r:id="rId29" display="https://www.keralatourism.org/homestays/the-nest-homestay/7020"/>
    <hyperlink ref="W49" r:id="rId30" display="https://www.keralatourism.org/homestays/brick-house/7103"/>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
    <col collapsed="false" customWidth="true" hidden="false" outlineLevel="0" max="3" min="3" style="0" width="42"/>
    <col collapsed="false" customWidth="true" hidden="false" outlineLevel="0" max="4" min="4" style="0" width="46"/>
    <col collapsed="false" customWidth="true" hidden="false" outlineLevel="0" max="5" min="5" style="0" width="14"/>
    <col collapsed="false" customWidth="true" hidden="false" outlineLevel="0" max="6" min="6" style="0" width="32"/>
  </cols>
  <sheetData>
    <row r="1" customFormat="false" ht="16.15" hidden="false" customHeight="false" outlineLevel="0" collapsed="false">
      <c r="A1" s="14" t="s">
        <v>401</v>
      </c>
    </row>
    <row r="3" customFormat="false" ht="15" hidden="false" customHeight="false" outlineLevel="0" collapsed="false">
      <c r="A3" s="15" t="s">
        <v>3</v>
      </c>
      <c r="B3" s="15" t="s">
        <v>402</v>
      </c>
      <c r="C3" s="15" t="s">
        <v>403</v>
      </c>
      <c r="D3" s="15" t="s">
        <v>404</v>
      </c>
      <c r="E3" s="15" t="s">
        <v>405</v>
      </c>
      <c r="F3" s="15" t="s">
        <v>406</v>
      </c>
    </row>
    <row r="4" customFormat="false" ht="15" hidden="false" customHeight="false" outlineLevel="0" collapsed="false">
      <c r="A4" s="16" t="n">
        <v>1</v>
      </c>
      <c r="B4" s="16" t="s">
        <v>25</v>
      </c>
      <c r="C4" s="16" t="s">
        <v>27</v>
      </c>
      <c r="D4" s="16" t="s">
        <v>28</v>
      </c>
      <c r="E4" s="16" t="s">
        <v>29</v>
      </c>
      <c r="F4" s="16" t="s">
        <v>407</v>
      </c>
    </row>
    <row r="5" customFormat="false" ht="15" hidden="false" customHeight="false" outlineLevel="0" collapsed="false">
      <c r="A5" s="16" t="n">
        <v>1</v>
      </c>
      <c r="B5" s="16" t="s">
        <v>39</v>
      </c>
      <c r="C5" s="16" t="s">
        <v>41</v>
      </c>
      <c r="D5" s="16" t="s">
        <v>42</v>
      </c>
      <c r="E5" s="16" t="s">
        <v>29</v>
      </c>
      <c r="F5" s="16" t="s">
        <v>407</v>
      </c>
    </row>
    <row r="6" customFormat="false" ht="15" hidden="false" customHeight="false" outlineLevel="0" collapsed="false">
      <c r="A6" s="16" t="n">
        <v>1</v>
      </c>
      <c r="B6" s="16" t="s">
        <v>50</v>
      </c>
      <c r="C6" s="16" t="s">
        <v>52</v>
      </c>
      <c r="D6" s="16" t="s">
        <v>53</v>
      </c>
      <c r="E6" s="16" t="s">
        <v>29</v>
      </c>
      <c r="F6" s="16" t="s">
        <v>407</v>
      </c>
    </row>
    <row r="7" customFormat="false" ht="15" hidden="false" customHeight="false" outlineLevel="0" collapsed="false">
      <c r="A7" s="16" t="n">
        <v>1</v>
      </c>
      <c r="B7" s="16" t="s">
        <v>62</v>
      </c>
      <c r="C7" s="16" t="s">
        <v>64</v>
      </c>
      <c r="D7" s="16" t="s">
        <v>65</v>
      </c>
      <c r="E7" s="16" t="s">
        <v>29</v>
      </c>
      <c r="F7" s="16" t="s">
        <v>407</v>
      </c>
    </row>
    <row r="8" customFormat="false" ht="15" hidden="false" customHeight="false" outlineLevel="0" collapsed="false">
      <c r="A8" s="16" t="n">
        <v>1</v>
      </c>
      <c r="B8" s="16" t="s">
        <v>73</v>
      </c>
      <c r="C8" s="16" t="s">
        <v>75</v>
      </c>
      <c r="D8" s="16" t="s">
        <v>76</v>
      </c>
      <c r="E8" s="16" t="s">
        <v>29</v>
      </c>
      <c r="F8" s="16" t="s">
        <v>407</v>
      </c>
    </row>
    <row r="9" customFormat="false" ht="15" hidden="false" customHeight="false" outlineLevel="0" collapsed="false">
      <c r="A9" s="16" t="n">
        <v>1</v>
      </c>
      <c r="B9" s="16" t="s">
        <v>85</v>
      </c>
      <c r="C9" s="16" t="s">
        <v>408</v>
      </c>
      <c r="D9" s="16" t="s">
        <v>28</v>
      </c>
      <c r="E9" s="16" t="s">
        <v>29</v>
      </c>
      <c r="F9" s="16" t="s">
        <v>407</v>
      </c>
    </row>
    <row r="10" customFormat="false" ht="15" hidden="false" customHeight="false" outlineLevel="0" collapsed="false">
      <c r="A10" s="16" t="n">
        <v>1</v>
      </c>
      <c r="B10" s="16" t="s">
        <v>94</v>
      </c>
      <c r="C10" s="16" t="s">
        <v>95</v>
      </c>
      <c r="D10" s="16" t="s">
        <v>96</v>
      </c>
      <c r="E10" s="16" t="s">
        <v>29</v>
      </c>
      <c r="F10" s="16" t="s">
        <v>407</v>
      </c>
    </row>
    <row r="11" customFormat="false" ht="15" hidden="false" customHeight="false" outlineLevel="0" collapsed="false">
      <c r="A11" s="16" t="n">
        <v>1</v>
      </c>
      <c r="B11" s="16" t="s">
        <v>104</v>
      </c>
      <c r="C11" s="16" t="s">
        <v>106</v>
      </c>
      <c r="D11" s="16" t="s">
        <v>107</v>
      </c>
      <c r="E11" s="16" t="s">
        <v>108</v>
      </c>
      <c r="F11" s="16" t="s">
        <v>409</v>
      </c>
    </row>
    <row r="12" customFormat="false" ht="15" hidden="false" customHeight="false" outlineLevel="0" collapsed="false">
      <c r="A12" s="16" t="n">
        <v>1</v>
      </c>
      <c r="B12" s="16" t="s">
        <v>112</v>
      </c>
      <c r="C12" s="16" t="s">
        <v>114</v>
      </c>
      <c r="D12" s="16" t="s">
        <v>42</v>
      </c>
      <c r="E12" s="16" t="s">
        <v>115</v>
      </c>
      <c r="F12" s="16" t="s">
        <v>410</v>
      </c>
    </row>
    <row r="13" customFormat="false" ht="15" hidden="false" customHeight="false" outlineLevel="0" collapsed="false">
      <c r="A13" s="16" t="n">
        <v>1</v>
      </c>
      <c r="B13" s="16" t="s">
        <v>119</v>
      </c>
      <c r="C13" s="16" t="s">
        <v>120</v>
      </c>
      <c r="D13" s="16" t="s">
        <v>53</v>
      </c>
      <c r="E13" s="16" t="s">
        <v>115</v>
      </c>
      <c r="F13" s="16" t="s">
        <v>411</v>
      </c>
    </row>
    <row r="14" customFormat="false" ht="15" hidden="false" customHeight="false" outlineLevel="0" collapsed="false">
      <c r="A14" s="17" t="n">
        <v>2</v>
      </c>
      <c r="B14" s="17" t="s">
        <v>123</v>
      </c>
      <c r="C14" s="17" t="s">
        <v>125</v>
      </c>
      <c r="D14" s="17" t="s">
        <v>28</v>
      </c>
      <c r="E14" s="17" t="s">
        <v>29</v>
      </c>
      <c r="F14" s="17" t="s">
        <v>407</v>
      </c>
    </row>
    <row r="15" customFormat="false" ht="15" hidden="false" customHeight="false" outlineLevel="0" collapsed="false">
      <c r="A15" s="17" t="n">
        <v>2</v>
      </c>
      <c r="B15" s="17" t="s">
        <v>132</v>
      </c>
      <c r="C15" s="17" t="s">
        <v>412</v>
      </c>
      <c r="D15" s="17" t="s">
        <v>28</v>
      </c>
      <c r="E15" s="17" t="s">
        <v>29</v>
      </c>
      <c r="F15" s="17" t="s">
        <v>407</v>
      </c>
    </row>
    <row r="16" customFormat="false" ht="15" hidden="false" customHeight="false" outlineLevel="0" collapsed="false">
      <c r="A16" s="17" t="n">
        <v>2</v>
      </c>
      <c r="B16" s="17" t="s">
        <v>141</v>
      </c>
      <c r="C16" s="17" t="s">
        <v>413</v>
      </c>
      <c r="D16" s="17" t="s">
        <v>53</v>
      </c>
      <c r="E16" s="17" t="s">
        <v>29</v>
      </c>
      <c r="F16" s="17" t="s">
        <v>407</v>
      </c>
    </row>
    <row r="17" customFormat="false" ht="15" hidden="false" customHeight="false" outlineLevel="0" collapsed="false">
      <c r="A17" s="17" t="n">
        <v>2</v>
      </c>
      <c r="B17" s="17" t="s">
        <v>149</v>
      </c>
      <c r="C17" s="17" t="s">
        <v>150</v>
      </c>
      <c r="D17" s="17" t="s">
        <v>151</v>
      </c>
      <c r="E17" s="17" t="s">
        <v>29</v>
      </c>
      <c r="F17" s="17" t="s">
        <v>407</v>
      </c>
    </row>
    <row r="18" customFormat="false" ht="15" hidden="false" customHeight="false" outlineLevel="0" collapsed="false">
      <c r="A18" s="17" t="n">
        <v>2</v>
      </c>
      <c r="B18" s="17" t="s">
        <v>159</v>
      </c>
      <c r="C18" s="17" t="s">
        <v>414</v>
      </c>
      <c r="D18" s="17" t="s">
        <v>151</v>
      </c>
      <c r="E18" s="17" t="s">
        <v>29</v>
      </c>
      <c r="F18" s="17" t="s">
        <v>407</v>
      </c>
    </row>
    <row r="19" customFormat="false" ht="15" hidden="false" customHeight="false" outlineLevel="0" collapsed="false">
      <c r="A19" s="17" t="n">
        <v>2</v>
      </c>
      <c r="B19" s="17" t="s">
        <v>169</v>
      </c>
      <c r="C19" s="17" t="s">
        <v>170</v>
      </c>
      <c r="D19" s="17" t="s">
        <v>65</v>
      </c>
      <c r="E19" s="17" t="s">
        <v>29</v>
      </c>
      <c r="F19" s="17" t="s">
        <v>407</v>
      </c>
    </row>
    <row r="20" customFormat="false" ht="15" hidden="false" customHeight="false" outlineLevel="0" collapsed="false">
      <c r="A20" s="17" t="n">
        <v>2</v>
      </c>
      <c r="B20" s="17" t="s">
        <v>176</v>
      </c>
      <c r="C20" s="17" t="s">
        <v>415</v>
      </c>
      <c r="D20" s="17" t="s">
        <v>179</v>
      </c>
      <c r="E20" s="17" t="s">
        <v>29</v>
      </c>
      <c r="F20" s="17" t="s">
        <v>407</v>
      </c>
    </row>
    <row r="21" customFormat="false" ht="15" hidden="false" customHeight="false" outlineLevel="0" collapsed="false">
      <c r="A21" s="17" t="n">
        <v>2</v>
      </c>
      <c r="B21" s="17" t="s">
        <v>187</v>
      </c>
      <c r="C21" s="17" t="s">
        <v>189</v>
      </c>
      <c r="D21" s="17" t="s">
        <v>42</v>
      </c>
      <c r="E21" s="17" t="s">
        <v>108</v>
      </c>
      <c r="F21" s="17" t="s">
        <v>409</v>
      </c>
    </row>
    <row r="22" customFormat="false" ht="15" hidden="false" customHeight="false" outlineLevel="0" collapsed="false">
      <c r="A22" s="17" t="n">
        <v>2</v>
      </c>
      <c r="B22" s="17" t="s">
        <v>192</v>
      </c>
      <c r="C22" s="17" t="s">
        <v>194</v>
      </c>
      <c r="D22" s="17" t="s">
        <v>42</v>
      </c>
      <c r="E22" s="17" t="s">
        <v>115</v>
      </c>
      <c r="F22" s="17" t="s">
        <v>410</v>
      </c>
    </row>
    <row r="23" customFormat="false" ht="15" hidden="false" customHeight="false" outlineLevel="0" collapsed="false">
      <c r="A23" s="17" t="n">
        <v>2</v>
      </c>
      <c r="B23" s="17" t="s">
        <v>196</v>
      </c>
      <c r="C23" s="17" t="s">
        <v>197</v>
      </c>
      <c r="D23" s="17" t="s">
        <v>198</v>
      </c>
      <c r="E23" s="17" t="s">
        <v>199</v>
      </c>
      <c r="F23" s="17" t="s">
        <v>411</v>
      </c>
    </row>
    <row r="24" customFormat="false" ht="15" hidden="false" customHeight="false" outlineLevel="0" collapsed="false">
      <c r="A24" s="18" t="n">
        <v>3</v>
      </c>
      <c r="B24" s="18" t="s">
        <v>202</v>
      </c>
      <c r="C24" s="18" t="s">
        <v>203</v>
      </c>
      <c r="D24" s="18" t="s">
        <v>28</v>
      </c>
      <c r="E24" s="18" t="s">
        <v>29</v>
      </c>
      <c r="F24" s="18" t="s">
        <v>407</v>
      </c>
    </row>
    <row r="25" customFormat="false" ht="15" hidden="false" customHeight="false" outlineLevel="0" collapsed="false">
      <c r="A25" s="18" t="n">
        <v>3</v>
      </c>
      <c r="B25" s="18" t="s">
        <v>210</v>
      </c>
      <c r="C25" s="18" t="s">
        <v>416</v>
      </c>
      <c r="D25" s="18" t="s">
        <v>213</v>
      </c>
      <c r="E25" s="18" t="s">
        <v>29</v>
      </c>
      <c r="F25" s="18" t="s">
        <v>407</v>
      </c>
    </row>
    <row r="26" customFormat="false" ht="15" hidden="false" customHeight="false" outlineLevel="0" collapsed="false">
      <c r="A26" s="18" t="n">
        <v>3</v>
      </c>
      <c r="B26" s="18" t="s">
        <v>222</v>
      </c>
      <c r="C26" s="18" t="s">
        <v>223</v>
      </c>
      <c r="D26" s="18" t="s">
        <v>213</v>
      </c>
      <c r="E26" s="18" t="s">
        <v>29</v>
      </c>
      <c r="F26" s="18" t="s">
        <v>407</v>
      </c>
    </row>
    <row r="27" customFormat="false" ht="15" hidden="false" customHeight="false" outlineLevel="0" collapsed="false">
      <c r="A27" s="18" t="n">
        <v>3</v>
      </c>
      <c r="B27" s="18" t="s">
        <v>229</v>
      </c>
      <c r="C27" s="18" t="s">
        <v>230</v>
      </c>
      <c r="D27" s="18" t="s">
        <v>417</v>
      </c>
      <c r="E27" s="18" t="s">
        <v>29</v>
      </c>
      <c r="F27" s="18" t="s">
        <v>407</v>
      </c>
    </row>
    <row r="28" customFormat="false" ht="15" hidden="false" customHeight="false" outlineLevel="0" collapsed="false">
      <c r="A28" s="18" t="n">
        <v>3</v>
      </c>
      <c r="B28" s="18" t="s">
        <v>238</v>
      </c>
      <c r="C28" s="18" t="s">
        <v>239</v>
      </c>
      <c r="D28" s="18" t="s">
        <v>240</v>
      </c>
      <c r="E28" s="18" t="s">
        <v>29</v>
      </c>
      <c r="F28" s="18" t="s">
        <v>407</v>
      </c>
    </row>
    <row r="29" customFormat="false" ht="15" hidden="false" customHeight="false" outlineLevel="0" collapsed="false">
      <c r="A29" s="18" t="n">
        <v>3</v>
      </c>
      <c r="B29" s="18" t="s">
        <v>248</v>
      </c>
      <c r="C29" s="18" t="s">
        <v>249</v>
      </c>
      <c r="D29" s="18" t="s">
        <v>418</v>
      </c>
      <c r="E29" s="18" t="s">
        <v>29</v>
      </c>
      <c r="F29" s="18" t="s">
        <v>407</v>
      </c>
    </row>
    <row r="30" customFormat="false" ht="15" hidden="false" customHeight="false" outlineLevel="0" collapsed="false">
      <c r="A30" s="18" t="n">
        <v>3</v>
      </c>
      <c r="B30" s="18" t="s">
        <v>259</v>
      </c>
      <c r="C30" s="18" t="s">
        <v>261</v>
      </c>
      <c r="D30" s="18" t="s">
        <v>53</v>
      </c>
      <c r="E30" s="18" t="s">
        <v>108</v>
      </c>
      <c r="F30" s="18" t="s">
        <v>409</v>
      </c>
    </row>
    <row r="31" customFormat="false" ht="15" hidden="false" customHeight="false" outlineLevel="0" collapsed="false">
      <c r="A31" s="18" t="n">
        <v>3</v>
      </c>
      <c r="B31" s="18" t="s">
        <v>263</v>
      </c>
      <c r="C31" s="18" t="s">
        <v>264</v>
      </c>
      <c r="D31" s="18" t="s">
        <v>265</v>
      </c>
      <c r="E31" s="18" t="s">
        <v>115</v>
      </c>
      <c r="F31" s="18" t="s">
        <v>410</v>
      </c>
    </row>
    <row r="32" customFormat="false" ht="15" hidden="false" customHeight="false" outlineLevel="0" collapsed="false">
      <c r="A32" s="18" t="n">
        <v>3</v>
      </c>
      <c r="B32" s="18" t="s">
        <v>267</v>
      </c>
      <c r="C32" s="18" t="s">
        <v>268</v>
      </c>
      <c r="D32" s="18" t="s">
        <v>269</v>
      </c>
      <c r="E32" s="18" t="s">
        <v>115</v>
      </c>
      <c r="F32" s="18" t="s">
        <v>411</v>
      </c>
    </row>
    <row r="33" customFormat="false" ht="15" hidden="false" customHeight="false" outlineLevel="0" collapsed="false">
      <c r="A33" s="18" t="n">
        <v>3</v>
      </c>
      <c r="B33" s="18" t="s">
        <v>271</v>
      </c>
      <c r="C33" s="18" t="s">
        <v>272</v>
      </c>
      <c r="D33" s="18" t="s">
        <v>107</v>
      </c>
      <c r="E33" s="18" t="s">
        <v>199</v>
      </c>
      <c r="F33" s="18" t="s">
        <v>411</v>
      </c>
    </row>
    <row r="34" customFormat="false" ht="15" hidden="false" customHeight="false" outlineLevel="0" collapsed="false">
      <c r="A34" s="19" t="n">
        <v>4</v>
      </c>
      <c r="B34" s="19" t="s">
        <v>275</v>
      </c>
      <c r="C34" s="19" t="s">
        <v>277</v>
      </c>
      <c r="D34" s="19" t="s">
        <v>269</v>
      </c>
      <c r="E34" s="19" t="s">
        <v>29</v>
      </c>
      <c r="F34" s="19" t="s">
        <v>407</v>
      </c>
    </row>
    <row r="35" customFormat="false" ht="15" hidden="false" customHeight="false" outlineLevel="0" collapsed="false">
      <c r="A35" s="19" t="n">
        <v>4</v>
      </c>
      <c r="B35" s="19" t="s">
        <v>283</v>
      </c>
      <c r="C35" s="19" t="s">
        <v>419</v>
      </c>
      <c r="D35" s="19" t="s">
        <v>420</v>
      </c>
      <c r="E35" s="19" t="s">
        <v>29</v>
      </c>
      <c r="F35" s="19" t="s">
        <v>407</v>
      </c>
    </row>
    <row r="36" customFormat="false" ht="15" hidden="false" customHeight="false" outlineLevel="0" collapsed="false">
      <c r="A36" s="19" t="n">
        <v>4</v>
      </c>
      <c r="B36" s="19" t="s">
        <v>292</v>
      </c>
      <c r="C36" s="19" t="s">
        <v>421</v>
      </c>
      <c r="D36" s="19" t="s">
        <v>269</v>
      </c>
      <c r="E36" s="19" t="s">
        <v>29</v>
      </c>
      <c r="F36" s="19" t="s">
        <v>407</v>
      </c>
    </row>
    <row r="37" customFormat="false" ht="15" hidden="false" customHeight="false" outlineLevel="0" collapsed="false">
      <c r="A37" s="19" t="n">
        <v>4</v>
      </c>
      <c r="B37" s="19" t="s">
        <v>303</v>
      </c>
      <c r="C37" s="19" t="s">
        <v>304</v>
      </c>
      <c r="D37" s="19" t="s">
        <v>305</v>
      </c>
      <c r="E37" s="19" t="s">
        <v>29</v>
      </c>
      <c r="F37" s="19" t="s">
        <v>407</v>
      </c>
    </row>
    <row r="38" customFormat="false" ht="15" hidden="false" customHeight="false" outlineLevel="0" collapsed="false">
      <c r="A38" s="19" t="n">
        <v>4</v>
      </c>
      <c r="B38" s="19" t="s">
        <v>312</v>
      </c>
      <c r="C38" s="19" t="s">
        <v>422</v>
      </c>
      <c r="D38" s="19" t="s">
        <v>423</v>
      </c>
      <c r="E38" s="19" t="s">
        <v>29</v>
      </c>
      <c r="F38" s="19" t="s">
        <v>407</v>
      </c>
    </row>
    <row r="39" customFormat="false" ht="15" hidden="false" customHeight="false" outlineLevel="0" collapsed="false">
      <c r="A39" s="19" t="n">
        <v>4</v>
      </c>
      <c r="B39" s="19" t="s">
        <v>321</v>
      </c>
      <c r="C39" s="19" t="s">
        <v>323</v>
      </c>
      <c r="D39" s="19" t="s">
        <v>324</v>
      </c>
      <c r="E39" s="19" t="s">
        <v>108</v>
      </c>
      <c r="F39" s="19" t="s">
        <v>409</v>
      </c>
    </row>
    <row r="40" customFormat="false" ht="15" hidden="false" customHeight="false" outlineLevel="0" collapsed="false">
      <c r="A40" s="19" t="n">
        <v>4</v>
      </c>
      <c r="B40" s="19" t="s">
        <v>326</v>
      </c>
      <c r="C40" s="19" t="s">
        <v>328</v>
      </c>
      <c r="D40" s="19" t="s">
        <v>324</v>
      </c>
      <c r="E40" s="19" t="s">
        <v>115</v>
      </c>
      <c r="F40" s="19" t="s">
        <v>410</v>
      </c>
    </row>
    <row r="41" customFormat="false" ht="15" hidden="false" customHeight="false" outlineLevel="0" collapsed="false">
      <c r="A41" s="19" t="n">
        <v>4</v>
      </c>
      <c r="B41" s="19" t="s">
        <v>330</v>
      </c>
      <c r="C41" s="19" t="s">
        <v>331</v>
      </c>
      <c r="D41" s="19" t="s">
        <v>65</v>
      </c>
      <c r="E41" s="19" t="s">
        <v>115</v>
      </c>
      <c r="F41" s="19" t="s">
        <v>411</v>
      </c>
    </row>
    <row r="42" customFormat="false" ht="15" hidden="false" customHeight="false" outlineLevel="0" collapsed="false">
      <c r="A42" s="19" t="n">
        <v>4</v>
      </c>
      <c r="B42" s="19" t="s">
        <v>333</v>
      </c>
      <c r="C42" s="19" t="s">
        <v>334</v>
      </c>
      <c r="D42" s="19" t="s">
        <v>335</v>
      </c>
      <c r="E42" s="19" t="s">
        <v>199</v>
      </c>
      <c r="F42" s="19" t="s">
        <v>411</v>
      </c>
    </row>
    <row r="43" customFormat="false" ht="15" hidden="false" customHeight="false" outlineLevel="0" collapsed="false">
      <c r="A43" s="19" t="n">
        <v>4</v>
      </c>
      <c r="B43" s="19" t="s">
        <v>338</v>
      </c>
      <c r="C43" s="19" t="s">
        <v>339</v>
      </c>
      <c r="D43" s="19" t="s">
        <v>340</v>
      </c>
      <c r="E43" s="19" t="s">
        <v>199</v>
      </c>
      <c r="F43" s="19" t="s">
        <v>411</v>
      </c>
    </row>
    <row r="44" customFormat="false" ht="15" hidden="false" customHeight="false" outlineLevel="0" collapsed="false">
      <c r="A44" s="20" t="n">
        <v>5</v>
      </c>
      <c r="B44" s="20" t="s">
        <v>343</v>
      </c>
      <c r="C44" s="20" t="s">
        <v>424</v>
      </c>
      <c r="D44" s="20" t="s">
        <v>28</v>
      </c>
      <c r="E44" s="20" t="s">
        <v>29</v>
      </c>
      <c r="F44" s="20" t="s">
        <v>407</v>
      </c>
    </row>
    <row r="45" customFormat="false" ht="15" hidden="false" customHeight="false" outlineLevel="0" collapsed="false">
      <c r="A45" s="20" t="n">
        <v>5</v>
      </c>
      <c r="B45" s="20" t="s">
        <v>351</v>
      </c>
      <c r="C45" s="20" t="s">
        <v>425</v>
      </c>
      <c r="D45" s="20" t="s">
        <v>426</v>
      </c>
      <c r="E45" s="20" t="s">
        <v>29</v>
      </c>
      <c r="F45" s="20" t="s">
        <v>407</v>
      </c>
    </row>
    <row r="46" customFormat="false" ht="15" hidden="false" customHeight="false" outlineLevel="0" collapsed="false">
      <c r="A46" s="20" t="n">
        <v>5</v>
      </c>
      <c r="B46" s="20" t="s">
        <v>360</v>
      </c>
      <c r="C46" s="20" t="s">
        <v>427</v>
      </c>
      <c r="D46" s="20" t="s">
        <v>179</v>
      </c>
      <c r="E46" s="20" t="s">
        <v>29</v>
      </c>
      <c r="F46" s="20" t="s">
        <v>407</v>
      </c>
    </row>
    <row r="47" customFormat="false" ht="15" hidden="false" customHeight="false" outlineLevel="0" collapsed="false">
      <c r="A47" s="20" t="n">
        <v>5</v>
      </c>
      <c r="B47" s="20" t="s">
        <v>367</v>
      </c>
      <c r="C47" s="20" t="s">
        <v>428</v>
      </c>
      <c r="D47" s="20" t="s">
        <v>96</v>
      </c>
      <c r="E47" s="20" t="s">
        <v>29</v>
      </c>
      <c r="F47" s="20" t="s">
        <v>407</v>
      </c>
    </row>
    <row r="48" customFormat="false" ht="15" hidden="false" customHeight="false" outlineLevel="0" collapsed="false">
      <c r="A48" s="20" t="n">
        <v>5</v>
      </c>
      <c r="B48" s="20" t="s">
        <v>376</v>
      </c>
      <c r="C48" s="20" t="s">
        <v>377</v>
      </c>
      <c r="D48" s="20" t="s">
        <v>378</v>
      </c>
      <c r="E48" s="20" t="s">
        <v>29</v>
      </c>
      <c r="F48" s="20" t="s">
        <v>407</v>
      </c>
    </row>
    <row r="49" customFormat="false" ht="15" hidden="false" customHeight="false" outlineLevel="0" collapsed="false">
      <c r="A49" s="20" t="n">
        <v>5</v>
      </c>
      <c r="B49" s="20" t="s">
        <v>383</v>
      </c>
      <c r="C49" s="20" t="s">
        <v>385</v>
      </c>
      <c r="D49" s="20" t="s">
        <v>386</v>
      </c>
      <c r="E49" s="20" t="s">
        <v>108</v>
      </c>
      <c r="F49" s="20" t="s">
        <v>409</v>
      </c>
    </row>
    <row r="50" customFormat="false" ht="15" hidden="false" customHeight="false" outlineLevel="0" collapsed="false">
      <c r="A50" s="20" t="n">
        <v>5</v>
      </c>
      <c r="B50" s="20" t="s">
        <v>388</v>
      </c>
      <c r="C50" s="20" t="s">
        <v>390</v>
      </c>
      <c r="D50" s="20" t="s">
        <v>42</v>
      </c>
      <c r="E50" s="20" t="s">
        <v>115</v>
      </c>
      <c r="F50" s="20" t="s">
        <v>410</v>
      </c>
    </row>
    <row r="51" customFormat="false" ht="15" hidden="false" customHeight="false" outlineLevel="0" collapsed="false">
      <c r="A51" s="20" t="n">
        <v>5</v>
      </c>
      <c r="B51" s="20" t="s">
        <v>392</v>
      </c>
      <c r="C51" s="20" t="s">
        <v>393</v>
      </c>
      <c r="D51" s="20" t="s">
        <v>42</v>
      </c>
      <c r="E51" s="20" t="s">
        <v>115</v>
      </c>
      <c r="F51" s="20" t="s">
        <v>411</v>
      </c>
    </row>
    <row r="52" customFormat="false" ht="15" hidden="false" customHeight="false" outlineLevel="0" collapsed="false">
      <c r="A52" s="20" t="n">
        <v>5</v>
      </c>
      <c r="B52" s="20" t="s">
        <v>395</v>
      </c>
      <c r="C52" s="20" t="s">
        <v>396</v>
      </c>
      <c r="D52" s="20" t="s">
        <v>378</v>
      </c>
      <c r="E52" s="20" t="s">
        <v>115</v>
      </c>
      <c r="F52" s="20" t="s">
        <v>411</v>
      </c>
    </row>
    <row r="53" customFormat="false" ht="15" hidden="false" customHeight="false" outlineLevel="0" collapsed="false">
      <c r="A53" s="20" t="n">
        <v>5</v>
      </c>
      <c r="B53" s="20" t="s">
        <v>398</v>
      </c>
      <c r="C53" s="20" t="s">
        <v>399</v>
      </c>
      <c r="D53" s="20" t="s">
        <v>96</v>
      </c>
      <c r="E53" s="20" t="s">
        <v>199</v>
      </c>
      <c r="F53" s="20" t="s">
        <v>411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s>
  <sheetData>
    <row r="1" customFormat="false" ht="16.15" hidden="false" customHeight="false" outlineLevel="0" collapsed="false">
      <c r="A1" s="14" t="s">
        <v>429</v>
      </c>
    </row>
    <row r="3" customFormat="false" ht="15" hidden="false" customHeight="false" outlineLevel="0" collapsed="false">
      <c r="A3" s="21" t="s">
        <v>430</v>
      </c>
      <c r="B3" s="21" t="s">
        <v>431</v>
      </c>
      <c r="C3" s="21" t="s">
        <v>432</v>
      </c>
      <c r="D3" s="21" t="s">
        <v>433</v>
      </c>
      <c r="E3" s="21" t="s">
        <v>434</v>
      </c>
      <c r="F3" s="21" t="s">
        <v>435</v>
      </c>
      <c r="G3" s="21" t="s">
        <v>436</v>
      </c>
    </row>
    <row r="4" customFormat="false" ht="15" hidden="false" customHeight="false" outlineLevel="0" collapsed="false">
      <c r="A4" s="22" t="s">
        <v>29</v>
      </c>
      <c r="B4" s="22" t="n">
        <f aca="false">COUNTIFS('Answer Key'!$G$5:$G$54,$A4,'Answer Key'!$B$5:$B$54,1)</f>
        <v>7</v>
      </c>
      <c r="C4" s="22" t="n">
        <f aca="false">COUNTIFS('Answer Key'!$G$5:$G$54,$A4,'Answer Key'!$B$5:$B$54,2)</f>
        <v>7</v>
      </c>
      <c r="D4" s="22" t="n">
        <f aca="false">COUNTIFS('Answer Key'!$G$5:$G$54,$A4,'Answer Key'!$B$5:$B$54,3)</f>
        <v>6</v>
      </c>
      <c r="E4" s="22" t="n">
        <f aca="false">COUNTIFS('Answer Key'!$G$5:$G$54,$A4,'Answer Key'!$B$5:$B$54,4)</f>
        <v>5</v>
      </c>
      <c r="F4" s="22" t="n">
        <f aca="false">COUNTIFS('Answer Key'!$G$5:$G$54,$A4,'Answer Key'!$B$5:$B$54,5)</f>
        <v>5</v>
      </c>
      <c r="G4" s="21" t="n">
        <f aca="false">SUM(B4:F4)</f>
        <v>30</v>
      </c>
    </row>
    <row r="5" customFormat="false" ht="15" hidden="false" customHeight="false" outlineLevel="0" collapsed="false">
      <c r="A5" s="22" t="s">
        <v>108</v>
      </c>
      <c r="B5" s="22" t="n">
        <f aca="false">COUNTIFS('Answer Key'!$G$5:$G$54,$A5,'Answer Key'!$B$5:$B$54,1)</f>
        <v>1</v>
      </c>
      <c r="C5" s="22" t="n">
        <f aca="false">COUNTIFS('Answer Key'!$G$5:$G$54,$A5,'Answer Key'!$B$5:$B$54,2)</f>
        <v>1</v>
      </c>
      <c r="D5" s="22" t="n">
        <f aca="false">COUNTIFS('Answer Key'!$G$5:$G$54,$A5,'Answer Key'!$B$5:$B$54,3)</f>
        <v>1</v>
      </c>
      <c r="E5" s="22" t="n">
        <f aca="false">COUNTIFS('Answer Key'!$G$5:$G$54,$A5,'Answer Key'!$B$5:$B$54,4)</f>
        <v>1</v>
      </c>
      <c r="F5" s="22" t="n">
        <f aca="false">COUNTIFS('Answer Key'!$G$5:$G$54,$A5,'Answer Key'!$B$5:$B$54,5)</f>
        <v>1</v>
      </c>
      <c r="G5" s="21" t="n">
        <f aca="false">SUM(B5:F5)</f>
        <v>5</v>
      </c>
    </row>
    <row r="6" customFormat="false" ht="15" hidden="false" customHeight="false" outlineLevel="0" collapsed="false">
      <c r="A6" s="22" t="s">
        <v>115</v>
      </c>
      <c r="B6" s="22" t="n">
        <f aca="false">COUNTIFS('Answer Key'!$G$5:$G$54,$A6,'Answer Key'!$B$5:$B$54,1)</f>
        <v>2</v>
      </c>
      <c r="C6" s="22" t="n">
        <f aca="false">COUNTIFS('Answer Key'!$G$5:$G$54,$A6,'Answer Key'!$B$5:$B$54,2)</f>
        <v>1</v>
      </c>
      <c r="D6" s="22" t="n">
        <f aca="false">COUNTIFS('Answer Key'!$G$5:$G$54,$A6,'Answer Key'!$B$5:$B$54,3)</f>
        <v>2</v>
      </c>
      <c r="E6" s="22" t="n">
        <f aca="false">COUNTIFS('Answer Key'!$G$5:$G$54,$A6,'Answer Key'!$B$5:$B$54,4)</f>
        <v>2</v>
      </c>
      <c r="F6" s="22" t="n">
        <f aca="false">COUNTIFS('Answer Key'!$G$5:$G$54,$A6,'Answer Key'!$B$5:$B$54,5)</f>
        <v>3</v>
      </c>
      <c r="G6" s="21" t="n">
        <f aca="false">SUM(B6:F6)</f>
        <v>10</v>
      </c>
    </row>
    <row r="7" customFormat="false" ht="15" hidden="false" customHeight="false" outlineLevel="0" collapsed="false">
      <c r="A7" s="22" t="s">
        <v>437</v>
      </c>
      <c r="B7" s="22" t="n">
        <f aca="false">COUNTIFS('Answer Key'!$G$5:$G$54,$A7,'Answer Key'!$B$5:$B$54,1)</f>
        <v>0</v>
      </c>
      <c r="C7" s="22" t="n">
        <f aca="false">COUNTIFS('Answer Key'!$G$5:$G$54,$A7,'Answer Key'!$B$5:$B$54,2)</f>
        <v>0</v>
      </c>
      <c r="D7" s="22" t="n">
        <f aca="false">COUNTIFS('Answer Key'!$G$5:$G$54,$A7,'Answer Key'!$B$5:$B$54,3)</f>
        <v>0</v>
      </c>
      <c r="E7" s="22" t="n">
        <f aca="false">COUNTIFS('Answer Key'!$G$5:$G$54,$A7,'Answer Key'!$B$5:$B$54,4)</f>
        <v>0</v>
      </c>
      <c r="F7" s="22" t="n">
        <f aca="false">COUNTIFS('Answer Key'!$G$5:$G$54,$A7,'Answer Key'!$B$5:$B$54,5)</f>
        <v>0</v>
      </c>
      <c r="G7" s="21" t="n">
        <f aca="false">SUM(B7:F7)</f>
        <v>0</v>
      </c>
    </row>
    <row r="8" customFormat="false" ht="15" hidden="false" customHeight="false" outlineLevel="0" collapsed="false">
      <c r="A8" s="22" t="s">
        <v>199</v>
      </c>
      <c r="B8" s="22" t="n">
        <f aca="false">COUNTIFS('Answer Key'!$G$5:$G$54,$A8,'Answer Key'!$B$5:$B$54,1)</f>
        <v>0</v>
      </c>
      <c r="C8" s="22" t="n">
        <f aca="false">COUNTIFS('Answer Key'!$G$5:$G$54,$A8,'Answer Key'!$B$5:$B$54,2)</f>
        <v>1</v>
      </c>
      <c r="D8" s="22" t="n">
        <f aca="false">COUNTIFS('Answer Key'!$G$5:$G$54,$A8,'Answer Key'!$B$5:$B$54,3)</f>
        <v>1</v>
      </c>
      <c r="E8" s="22" t="n">
        <f aca="false">COUNTIFS('Answer Key'!$G$5:$G$54,$A8,'Answer Key'!$B$5:$B$54,4)</f>
        <v>2</v>
      </c>
      <c r="F8" s="22" t="n">
        <f aca="false">COUNTIFS('Answer Key'!$G$5:$G$54,$A8,'Answer Key'!$B$5:$B$54,5)</f>
        <v>1</v>
      </c>
      <c r="G8" s="21" t="n">
        <f aca="false">SUM(B8:F8)</f>
        <v>5</v>
      </c>
    </row>
    <row r="9" customFormat="false" ht="15" hidden="false" customHeight="false" outlineLevel="0" collapsed="false">
      <c r="A9" s="22" t="s">
        <v>438</v>
      </c>
      <c r="B9" s="22" t="n">
        <f aca="false">COUNTIFS('Answer Key'!$G$5:$G$54,$A9,'Answer Key'!$B$5:$B$54,1)</f>
        <v>0</v>
      </c>
      <c r="C9" s="22" t="n">
        <f aca="false">COUNTIFS('Answer Key'!$G$5:$G$54,$A9,'Answer Key'!$B$5:$B$54,2)</f>
        <v>0</v>
      </c>
      <c r="D9" s="22" t="n">
        <f aca="false">COUNTIFS('Answer Key'!$G$5:$G$54,$A9,'Answer Key'!$B$5:$B$54,3)</f>
        <v>0</v>
      </c>
      <c r="E9" s="22" t="n">
        <f aca="false">COUNTIFS('Answer Key'!$G$5:$G$54,$A9,'Answer Key'!$B$5:$B$54,4)</f>
        <v>0</v>
      </c>
      <c r="F9" s="22" t="n">
        <f aca="false">COUNTIFS('Answer Key'!$G$5:$G$54,$A9,'Answer Key'!$B$5:$B$54,5)</f>
        <v>0</v>
      </c>
      <c r="G9" s="21" t="n">
        <f aca="false">SUM(B9:F9)</f>
        <v>0</v>
      </c>
    </row>
    <row r="10" customFormat="false" ht="15" hidden="false" customHeight="false" outlineLevel="0" collapsed="false">
      <c r="A10" s="21" t="s">
        <v>436</v>
      </c>
      <c r="B10" s="21" t="n">
        <f aca="false">SUM(B4:B9)</f>
        <v>10</v>
      </c>
      <c r="C10" s="21" t="n">
        <f aca="false">SUM(C4:C9)</f>
        <v>10</v>
      </c>
      <c r="D10" s="21" t="n">
        <f aca="false">SUM(D4:D9)</f>
        <v>10</v>
      </c>
      <c r="E10" s="21" t="n">
        <f aca="false">SUM(E4:E9)</f>
        <v>10</v>
      </c>
      <c r="F10" s="21" t="n">
        <f aca="false">SUM(F4:F9)</f>
        <v>10</v>
      </c>
      <c r="G10" s="21" t="n">
        <f aca="false">SUM(G4:G9)</f>
        <v>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2026-10-08T10:38:42Z</dcterms:created>
  <dc:creator>openpyxl</dc:creator>
  <dc:description/>
  <dc:language>en-US</dc:language>
  <cp:lastModifiedBy/>
  <dcterms:modified xsi:type="dcterms:W3CDTF">2026-10-08T10:38:42Z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